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DME" sheetId="1" state="visible" r:id="rId3"/>
    <sheet name="Inputs" sheetId="2" state="visible" r:id="rId4"/>
    <sheet name="Wind_Index" sheetId="3" state="visible" r:id="rId5"/>
    <sheet name="Data_Monthly" sheetId="4" state="visible" r:id="rId6"/>
    <sheet name="Fleet_2015" sheetId="5" state="visible" r:id="rId7"/>
    <sheet name="Bridge" sheetId="6" state="visible" r:id="rId8"/>
    <sheet name="Turbine_2015" sheetId="7" state="visible" r:id="rId9"/>
    <sheet name="Reforecas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Assumption, not site revenue data. Edit freely.</t>
        </r>
      </text>
    </comment>
  </commentList>
</comments>
</file>

<file path=xl/sharedStrings.xml><?xml version="1.0" encoding="utf-8"?>
<sst xmlns="http://schemas.openxmlformats.org/spreadsheetml/2006/main" count="266" uniqueCount="135">
  <si>
    <t xml:space="preserve">La Haute Borne wind farm: asset P&amp;L and variance analysis, 2015</t>
  </si>
  <si>
    <t xml:space="preserve">Companion to github.com/syulimo/wind-performance-analysis</t>
  </si>
  <si>
    <t xml:space="preserve">Purpose</t>
  </si>
  <si>
    <t xml:space="preserve">Asset-management view of the same SCADA analysis: budget vs actual, variance bridge by driver, turbine ranking, reforecast.</t>
  </si>
  <si>
    <t xml:space="preserve">Operating year</t>
  </si>
  <si>
    <t xml:space="preserve">2015. Budget is set ex ante from 2014 data only, so 2015 is analysed out of sample.</t>
  </si>
  <si>
    <t xml:space="preserve">Budget (P50 proxy)</t>
  </si>
  <si>
    <t xml:space="preserve">2014 potential energy, long-term corrected with an ERA5 wind index (1999 to 2013), spread by the long-term monthly profile.</t>
  </si>
  <si>
    <t xml:space="preserve">Revenue</t>
  </si>
  <si>
    <t xml:space="preserve">Energy x tariff. The tariff on Inputs is an editable assumption; change it to see every euro figure update.</t>
  </si>
  <si>
    <t xml:space="preserve">Data sources</t>
  </si>
  <si>
    <t xml:space="preserve">outputs/loss_monthly.csv from the pipeline (ENGIE La Haute Borne SCADA via NREL OpenOA); ERA5 100 m wind speed from the same OpenOA dataset.</t>
  </si>
  <si>
    <t xml:space="preserve">Not included</t>
  </si>
  <si>
    <t xml:space="preserve">O&amp;M, land, insurance and other costs: no public cost data exist for this site, so the P&amp;L stops at revenue and lost revenue.</t>
  </si>
  <si>
    <t xml:space="preserve">Colour legend</t>
  </si>
  <si>
    <t xml:space="preserve">Blue text = hardcoded input or imported data. Black = formula. Green = direct link to another sheet. Yellow fill = assumption to edit.</t>
  </si>
  <si>
    <t xml:space="preserve">How to use</t>
  </si>
  <si>
    <t xml:space="preserve">Edit the yellow cells on Inputs (tariff, months of actuals). Everything else recalculates.</t>
  </si>
  <si>
    <t xml:space="preserve">Inputs and budget</t>
  </si>
  <si>
    <t xml:space="preserve">Edit yellow cells only</t>
  </si>
  <si>
    <t xml:space="preserve">Item</t>
  </si>
  <si>
    <t xml:space="preserve">Value</t>
  </si>
  <si>
    <t xml:space="preserve">Unit</t>
  </si>
  <si>
    <t xml:space="preserve">Source / note</t>
  </si>
  <si>
    <t xml:space="preserve">Tariff</t>
  </si>
  <si>
    <t xml:space="preserve">€/MWh</t>
  </si>
  <si>
    <t xml:space="preserve">Assumption: French onshore wind feed-in tariff base level (arrêté of 17 Nov 2008, 8.2 c€/kWh), before annual indexation. Edit to test other prices or a PPA.</t>
  </si>
  <si>
    <t xml:space="preserve">Months of actuals for reforecast</t>
  </si>
  <si>
    <t xml:space="preserve">months</t>
  </si>
  <si>
    <t xml:space="preserve">Reforecast sheet uses actuals for months 1 to this number, budget after. Enter 1 to 11.</t>
  </si>
  <si>
    <t xml:space="preserve">Budget build (formulas)</t>
  </si>
  <si>
    <t xml:space="preserve">2014 potential energy, fleet</t>
  </si>
  <si>
    <t xml:space="preserve">MWh</t>
  </si>
  <si>
    <t xml:space="preserve">Expected energy from the reference power curves, 2014 (pipeline output)</t>
  </si>
  <si>
    <t xml:space="preserve">Long-term / 2014 wind index ratio</t>
  </si>
  <si>
    <t xml:space="preserve">x</t>
  </si>
  <si>
    <t xml:space="preserve">ERA5 1999 to 2013 mean over 2014; above 1 means 2014 was a low-wind year</t>
  </si>
  <si>
    <t xml:space="preserve">Annual budget, P50 proxy</t>
  </si>
  <si>
    <t xml:space="preserve">Spread across months by the long-term monthly profile on Wind_Index</t>
  </si>
  <si>
    <t xml:space="preserve">Annual budget revenue</t>
  </si>
  <si>
    <t xml:space="preserve">€</t>
  </si>
  <si>
    <t xml:space="preserve">ERA5 wind energy index by month</t>
  </si>
  <si>
    <t xml:space="preserve">Mean of min(max(ws100 - 3, 0)^3 / 9^3, 1), hourly ERA5 100 m wind speed at the site; computed in src/wpa/build_asset_pnl.py</t>
  </si>
  <si>
    <t xml:space="preserve">Month</t>
  </si>
  <si>
    <t xml:space="preserve">Long-term 1999-2013</t>
  </si>
  <si>
    <t xml:space="preserve">2014</t>
  </si>
  <si>
    <t xml:space="preserve">2015</t>
  </si>
  <si>
    <t xml:space="preserve">Budget share of year</t>
  </si>
  <si>
    <t xml:space="preserve">2015 vs long-term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</si>
  <si>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</si>
  <si>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</si>
  <si>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</si>
  <si>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</si>
  <si>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</si>
  <si>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</si>
  <si>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</si>
  <si>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</si>
  <si>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</si>
  <si>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</si>
  <si>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</si>
  <si>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</si>
  <si>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</t>
  </si>
  <si>
    <t xml:space="preserve">Monthly energy by turbine (pipeline output)</t>
  </si>
  <si>
    <t xml:space="preserve">Source: outputs/loss_monthly.csv, written by src/wpa/pipeline.py from 10-minute SCADA. MWh.</t>
  </si>
  <si>
    <t xml:space="preserve">Turbine</t>
  </si>
  <si>
    <t xml:space="preserve">Actual MWh</t>
  </si>
  <si>
    <t xml:space="preserve">(blank)</t>
  </si>
  <si>
    <t xml:space="preserve">Potential MWh</t>
  </si>
  <si>
    <t xml:space="preserve">Downtime MWh</t>
  </si>
  <si>
    <t xml:space="preserve">Underperf. MWh</t>
  </si>
  <si>
    <t xml:space="preserve">Icing MWh</t>
  </si>
  <si>
    <t xml:space="preserve">Month no.</t>
  </si>
  <si>
    <t xml:space="preserve">Curtailment MWh</t>
  </si>
  <si>
    <t xml:space="preserve">R80711</t>
  </si>
  <si>
    <t xml:space="preserve">R80721</t>
  </si>
  <si>
    <t xml:space="preserve">R80736</t>
  </si>
  <si>
    <t xml:space="preserve">R80790</t>
  </si>
  <si>
    <t xml:space="preserve">Fleet budget vs actual by month, 2015</t>
  </si>
  <si>
    <t xml:space="preserve">Losses shown negative. Check column must be zero: resource + losses + other = variance to budget.</t>
  </si>
  <si>
    <t xml:space="preserve">Budget MWh</t>
  </si>
  <si>
    <t xml:space="preserve">Wind resource var.</t>
  </si>
  <si>
    <t xml:space="preserve">Downtime</t>
  </si>
  <si>
    <t xml:space="preserve">Underperf.</t>
  </si>
  <si>
    <t xml:space="preserve">Icing</t>
  </si>
  <si>
    <t xml:space="preserve">Curtailment</t>
  </si>
  <si>
    <t xml:space="preserve">Other</t>
  </si>
  <si>
    <t xml:space="preserve">Variance to budget</t>
  </si>
  <si>
    <t xml:space="preserve">Check</t>
  </si>
  <si>
    <t xml:space="preserve">Budget revenue</t>
  </si>
  <si>
    <t xml:space="preserve">Actual revenue</t>
  </si>
  <si>
    <t xml:space="preserve">Revenue variance</t>
  </si>
  <si>
    <t xml:space="preserve">Variance to budget, %</t>
  </si>
  <si>
    <t xml:space="preserve">Reading: the wind resource column is what the weather did; downtime to curtailment are what operations lost; other is curve scatter and records excluded by data quality.</t>
  </si>
  <si>
    <t xml:space="preserve">2015 revenue bridge: budget to actual</t>
  </si>
  <si>
    <t xml:space="preserve">Each step links to Fleet_2015 totals; euros = MWh x tariff</t>
  </si>
  <si>
    <t xml:space="preserve">Step</t>
  </si>
  <si>
    <t xml:space="preserve">Share of budget</t>
  </si>
  <si>
    <t xml:space="preserve">Budget</t>
  </si>
  <si>
    <t xml:space="preserve">Wind resource</t>
  </si>
  <si>
    <t xml:space="preserve">Underperformance</t>
  </si>
  <si>
    <t xml:space="preserve">Actual</t>
  </si>
  <si>
    <t xml:space="preserve">Check: budget + steps - actual</t>
  </si>
  <si>
    <t xml:space="preserve">Operational losses, € (downtime to curtailment)</t>
  </si>
  <si>
    <t xml:space="preserve">Largest operational driver</t>
  </si>
  <si>
    <t xml:space="preserve">Turbine ranking by lost energy and lost revenue, 2015</t>
  </si>
  <si>
    <t xml:space="preserve">Rank 1 = most lost energy; act on it first</t>
  </si>
  <si>
    <t xml:space="preserve">Total lost MWh</t>
  </si>
  <si>
    <t xml:space="preserve">Lost revenue</t>
  </si>
  <si>
    <t xml:space="preserve">Share of fleet loss</t>
  </si>
  <si>
    <t xml:space="preserve">Rank</t>
  </si>
  <si>
    <t xml:space="preserve">Underperf. 2014</t>
  </si>
  <si>
    <t xml:space="preserve">Underperf. change</t>
  </si>
  <si>
    <t xml:space="preserve">Fleet</t>
  </si>
  <si>
    <t xml:space="preserve">Full-year 2015 reforecast</t>
  </si>
  <si>
    <t xml:space="preserve">Actuals through the month set on Inputs!B6, budget for the rest of the year</t>
  </si>
  <si>
    <t xml:space="preserve">Line</t>
  </si>
  <si>
    <t xml:space="preserve">Note</t>
  </si>
  <si>
    <t xml:space="preserve">Months of actuals</t>
  </si>
  <si>
    <t xml:space="preserve">Set on Inputs</t>
  </si>
  <si>
    <t xml:space="preserve">YTD budget</t>
  </si>
  <si>
    <t xml:space="preserve">YTD actual</t>
  </si>
  <si>
    <t xml:space="preserve">YTD potential</t>
  </si>
  <si>
    <t xml:space="preserve">Energy the turbines could have made in the actual wind</t>
  </si>
  <si>
    <t xml:space="preserve">YTD operating ratio</t>
  </si>
  <si>
    <t xml:space="preserve">Actual / potential: share of available wind energy converted</t>
  </si>
  <si>
    <t xml:space="preserve">Rest-of-year budget</t>
  </si>
  <si>
    <t xml:space="preserve">Reforecast A: YTD actual + budget</t>
  </si>
  <si>
    <t xml:space="preserve">Assumes rest of year at budget</t>
  </si>
  <si>
    <t xml:space="preserve">Reforecast B: YTD actual + budget x operating ratio</t>
  </si>
  <si>
    <t xml:space="preserve">Carries YTD operational losses forward; normal wind assumed</t>
  </si>
  <si>
    <t xml:space="preserve">Full-year budget</t>
  </si>
  <si>
    <t xml:space="preserve">Full-year actual (for back-test)</t>
  </si>
  <si>
    <t xml:space="preserve">Known here because 2015 is historical</t>
  </si>
  <si>
    <t xml:space="preserve">Error, reforecast A vs actual</t>
  </si>
  <si>
    <t xml:space="preserve">Error, reforecast B vs actual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</si>
</sst>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€#,##0.00"/>
    <numFmt numFmtId="166" formatCode="#,##0.0;\(#,##0.0\);\-"/>
    <numFmt numFmtId="167" formatCode="0.000\x"/>
    <numFmt numFmtId="168" formatCode="\€#,##0;&quot;(€&quot;#,##0\);\-"/>
    <numFmt numFmtId="169" formatCode="0.000"/>
    <numFmt numFmtId="170" formatCode="0.0%;\(0.0%\);\-"/>
    <numFmt numFmtId="171" formatCode="yyyy\-mm"/>
    <numFmt numFmtId="172" formatCode="\€#,##0"/>
    <numFmt numFmtId="173" formatCode="0"/>
    <numFmt numFmtId="174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B6B7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D2733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D27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B6B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2015 variance to budget by driver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Bridge!$A$6:$A$11</c:f>
              <c:strCache>
                <c:ptCount val="6"/>
                <c:pt idx="0">
                  <c:v>Wind resource</c:v>
                </c:pt>
                <c:pt idx="1">
                  <c:v>Downtime</c:v>
                </c:pt>
                <c:pt idx="2">
                  <c:v>Underperformance</c:v>
                </c:pt>
                <c:pt idx="3">
                  <c:v>Icing</c:v>
                </c:pt>
                <c:pt idx="4">
                  <c:v>Curtailment</c:v>
                </c:pt>
                <c:pt idx="5">
                  <c:v>Other</c:v>
                </c:pt>
              </c:strCache>
            </c:strRef>
          </c:cat>
          <c:val>
            <c:numRef>
              <c:f>Bridge!$C$6:$C$11</c:f>
              <c:numCache>
                <c:formatCode>\€#,##0;"(€"#,##0\);\-</c:formatCode>
                <c:ptCount val="6"/>
                <c:pt idx="0">
                  <c:v>11717.58849654</c:v>
                </c:pt>
                <c:pt idx="1">
                  <c:v>-14031.102</c:v>
                </c:pt>
                <c:pt idx="2">
                  <c:v>-7928.99</c:v>
                </c:pt>
                <c:pt idx="3">
                  <c:v>-270.354</c:v>
                </c:pt>
                <c:pt idx="4">
                  <c:v>-152.274</c:v>
                </c:pt>
                <c:pt idx="5">
                  <c:v>15795.906</c:v>
                </c:pt>
              </c:numCache>
            </c:numRef>
          </c:val>
        </c:ser>
        <c:gapWidth val="150"/>
        <c:overlap val="0"/>
        <c:axId val="59477433"/>
        <c:axId val="45991482"/>
      </c:barChart>
      <c:catAx>
        <c:axId val="59477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91482"/>
        <c:crosses val="autoZero"/>
        <c:auto val="1"/>
        <c:lblAlgn val="ctr"/>
        <c:lblOffset val="100"/>
        <c:noMultiLvlLbl val="0"/>
      </c:catAx>
      <c:valAx>
        <c:axId val="45991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774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256320</xdr:colOff>
      <xdr:row>16</xdr:row>
      <xdr:rowOff>182880</xdr:rowOff>
    </xdr:to>
    <xdr:graphicFrame>
      <xdr:nvGraphicFramePr>
        <xdr:cNvPr id="0" name="Chart 1"/>
        <xdr:cNvGraphicFramePr/>
      </xdr:nvGraphicFramePr>
      <xdr:xfrm>
        <a:off x="667332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30" hidden="false" customHeight="true" outlineLevel="0" collapsed="false">
      <c r="A6" s="3" t="s">
        <v>6</v>
      </c>
      <c r="B6" s="4" t="s">
        <v>7</v>
      </c>
    </row>
    <row r="7" customFormat="false" ht="30" hidden="false" customHeight="true" outlineLevel="0" collapsed="false">
      <c r="A7" s="3" t="s">
        <v>8</v>
      </c>
      <c r="B7" s="4" t="s">
        <v>9</v>
      </c>
    </row>
    <row r="8" customFormat="false" ht="30" hidden="false" customHeight="true" outlineLevel="0" collapsed="false">
      <c r="A8" s="3" t="s">
        <v>10</v>
      </c>
      <c r="B8" s="4" t="s">
        <v>11</v>
      </c>
    </row>
    <row r="9" customFormat="false" ht="30" hidden="false" customHeight="true" outlineLevel="0" collapsed="false">
      <c r="A9" s="3" t="s">
        <v>12</v>
      </c>
      <c r="B9" s="4" t="s">
        <v>13</v>
      </c>
    </row>
    <row r="10" customFormat="false" ht="30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30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</row>
    <row r="5" customFormat="false" ht="15" hidden="false" customHeight="false" outlineLevel="0" collapsed="false">
      <c r="A5" s="6" t="s">
        <v>24</v>
      </c>
      <c r="B5" s="7" t="n">
        <v>82</v>
      </c>
      <c r="C5" s="6" t="s">
        <v>25</v>
      </c>
      <c r="D5" s="6" t="s">
        <v>26</v>
      </c>
    </row>
    <row r="6" customFormat="false" ht="15" hidden="false" customHeight="false" outlineLevel="0" collapsed="false">
      <c r="A6" s="6" t="s">
        <v>27</v>
      </c>
      <c r="B6" s="8" t="n">
        <v>6</v>
      </c>
      <c r="C6" s="6" t="s">
        <v>28</v>
      </c>
      <c r="D6" s="6" t="s">
        <v>29</v>
      </c>
    </row>
    <row r="7" customFormat="false" ht="15" hidden="false" customHeight="false" outlineLevel="0" collapsed="false">
      <c r="A7" s="6"/>
      <c r="C7" s="6"/>
      <c r="D7" s="6"/>
    </row>
    <row r="8" customFormat="false" ht="15" hidden="false" customHeight="false" outlineLevel="0" collapsed="false">
      <c r="A8" s="6" t="s">
        <v>30</v>
      </c>
      <c r="C8" s="6"/>
      <c r="D8" s="6"/>
    </row>
    <row r="9" customFormat="false" ht="15" hidden="false" customHeight="false" outlineLevel="0" collapsed="false">
      <c r="A9" s="6" t="s">
        <v>31</v>
      </c>
      <c r="B9" s="9" t="n">
        <f aca="false">SUMIFS(Data_Monthly!$E:$E,Data_Monthly!$I:$I,2014)</f>
        <v>11454.794</v>
      </c>
      <c r="C9" s="6" t="s">
        <v>32</v>
      </c>
      <c r="D9" s="6" t="s">
        <v>33</v>
      </c>
    </row>
    <row r="10" customFormat="false" ht="15" hidden="false" customHeight="false" outlineLevel="0" collapsed="false">
      <c r="A10" s="6" t="s">
        <v>34</v>
      </c>
      <c r="B10" s="10" t="n">
        <f aca="false">SUM(Wind_Index!$B$5:$B$16)/SUM(Wind_Index!$C$5:$C$16)</f>
        <v>1.16427424005272</v>
      </c>
      <c r="C10" s="6" t="s">
        <v>35</v>
      </c>
      <c r="D10" s="6" t="s">
        <v>36</v>
      </c>
    </row>
    <row r="11" customFormat="false" ht="15" hidden="false" customHeight="false" outlineLevel="0" collapsed="false">
      <c r="A11" s="3" t="s">
        <v>37</v>
      </c>
      <c r="B11" s="9" t="n">
        <f aca="false">B9*B10</f>
        <v>13336.5215793105</v>
      </c>
      <c r="C11" s="6" t="s">
        <v>32</v>
      </c>
      <c r="D11" s="6" t="s">
        <v>38</v>
      </c>
    </row>
    <row r="12" customFormat="false" ht="15" hidden="false" customHeight="false" outlineLevel="0" collapsed="false">
      <c r="A12" s="3" t="s">
        <v>39</v>
      </c>
      <c r="B12" s="11" t="n">
        <f aca="false">B11*B5</f>
        <v>1093594.76950346</v>
      </c>
      <c r="C12" s="6" t="s">
        <v>40</v>
      </c>
      <c r="D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30" hidden="false" customHeight="true" outlineLevel="0" collapsed="false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</row>
    <row r="5" customFormat="false" ht="15" hidden="false" customHeight="false" outlineLevel="0" collapsed="false">
      <c r="A5" s="6" t="s">
        <v>49</v>
      </c>
      <c r="B5" s="12" t="n">
        <v>0.216188</v>
      </c>
      <c r="C5" s="12" t="n">
        <v>0.230876</v>
      </c>
      <c r="D5" s="12" t="n">
        <v>0.264539</v>
      </c>
      <c r="E5" s="13" t="n">
        <f aca="false">B5/SUM($B$5:$B$16)</f>
        <v>0.136576305664883</v>
      </c>
      <c r="F5" s="13" t="n">
        <f aca="false">D5/B5-1</f>
        <v>0.223652561659297</v>
      </c>
    </row>
    <row r="6" customFormat="false" ht="15" hidden="false" customHeight="false" outlineLevel="0" collapsed="false">
      <c r="A6" s="6" t="s">
        <v>50</v>
      </c>
      <c r="B6" s="12" t="n">
        <v>0.198475</v>
      </c>
      <c r="C6" s="12" t="n">
        <v>0.32558</v>
      </c>
      <c r="D6" s="12" t="n">
        <v>0.174423</v>
      </c>
      <c r="E6" s="13" t="n">
        <f aca="false">B6/SUM($B$5:$B$16)</f>
        <v>0.125386155877466</v>
      </c>
      <c r="F6" s="13" t="n">
        <f aca="false">D6/B6-1</f>
        <v>-0.121184028215141</v>
      </c>
    </row>
    <row r="7" customFormat="false" ht="15" hidden="false" customHeight="false" outlineLevel="0" collapsed="false">
      <c r="A7" s="6" t="s">
        <v>51</v>
      </c>
      <c r="B7" s="12" t="n">
        <v>0.163287</v>
      </c>
      <c r="C7" s="12" t="n">
        <v>0.074634</v>
      </c>
      <c r="D7" s="12" t="n">
        <v>0.159186</v>
      </c>
      <c r="E7" s="13" t="n">
        <f aca="false">B7/SUM($B$5:$B$16)</f>
        <v>0.10315621229255</v>
      </c>
      <c r="F7" s="13" t="n">
        <f aca="false">D7/B7-1</f>
        <v>-0.0251152878061327</v>
      </c>
    </row>
    <row r="8" customFormat="false" ht="15" hidden="false" customHeight="false" outlineLevel="0" collapsed="false">
      <c r="A8" s="6" t="s">
        <v>52</v>
      </c>
      <c r="B8" s="12" t="n">
        <v>0.108607</v>
      </c>
      <c r="C8" s="12" t="n">
        <v>0.044326</v>
      </c>
      <c r="D8" s="12" t="n">
        <v>0.092369</v>
      </c>
      <c r="E8" s="13" t="n">
        <f aca="false">B8/SUM($B$5:$B$16)</f>
        <v>0.0686122394829776</v>
      </c>
      <c r="F8" s="13" t="n">
        <f aca="false">D8/B8-1</f>
        <v>-0.14951154161334</v>
      </c>
    </row>
    <row r="9" customFormat="false" ht="15" hidden="false" customHeight="false" outlineLevel="0" collapsed="false">
      <c r="A9" s="6" t="s">
        <v>53</v>
      </c>
      <c r="B9" s="12" t="n">
        <v>0.079852</v>
      </c>
      <c r="C9" s="12" t="n">
        <v>0.114362</v>
      </c>
      <c r="D9" s="12" t="n">
        <v>0.076558</v>
      </c>
      <c r="E9" s="13" t="n">
        <f aca="false">B9/SUM($B$5:$B$16)</f>
        <v>0.050446329860826</v>
      </c>
      <c r="F9" s="13" t="n">
        <f aca="false">D9/B9-1</f>
        <v>-0.0412513149326255</v>
      </c>
    </row>
    <row r="10" customFormat="false" ht="15" hidden="false" customHeight="false" outlineLevel="0" collapsed="false">
      <c r="A10" s="6" t="s">
        <v>54</v>
      </c>
      <c r="B10" s="12" t="n">
        <v>0.055375</v>
      </c>
      <c r="C10" s="12" t="n">
        <v>0.048424</v>
      </c>
      <c r="D10" s="12" t="n">
        <v>0.049769</v>
      </c>
      <c r="E10" s="13" t="n">
        <f aca="false">B10/SUM($B$5:$B$16)</f>
        <v>0.034983037570045</v>
      </c>
      <c r="F10" s="13" t="n">
        <f aca="false">D10/B10-1</f>
        <v>-0.101237020316027</v>
      </c>
    </row>
    <row r="11" customFormat="false" ht="15" hidden="false" customHeight="false" outlineLevel="0" collapsed="false">
      <c r="A11" s="6" t="s">
        <v>55</v>
      </c>
      <c r="B11" s="12" t="n">
        <v>0.064838</v>
      </c>
      <c r="C11" s="12" t="n">
        <v>0.047633</v>
      </c>
      <c r="D11" s="12" t="n">
        <v>0.079524</v>
      </c>
      <c r="E11" s="13" t="n">
        <f aca="false">B11/SUM($B$5:$B$16)</f>
        <v>0.0409612675388999</v>
      </c>
      <c r="F11" s="13" t="n">
        <f aca="false">D11/B11-1</f>
        <v>0.226502976649495</v>
      </c>
    </row>
    <row r="12" customFormat="false" ht="15" hidden="false" customHeight="false" outlineLevel="0" collapsed="false">
      <c r="A12" s="6" t="s">
        <v>56</v>
      </c>
      <c r="B12" s="12" t="n">
        <v>0.052459</v>
      </c>
      <c r="C12" s="12" t="n">
        <v>0.046732</v>
      </c>
      <c r="D12" s="12" t="n">
        <v>0.064658</v>
      </c>
      <c r="E12" s="13" t="n">
        <f aca="false">B12/SUM($B$5:$B$16)</f>
        <v>0.0331408608196297</v>
      </c>
      <c r="F12" s="13" t="n">
        <f aca="false">D12/B12-1</f>
        <v>0.232543510169847</v>
      </c>
    </row>
    <row r="13" customFormat="false" ht="15" hidden="false" customHeight="false" outlineLevel="0" collapsed="false">
      <c r="A13" s="6" t="s">
        <v>57</v>
      </c>
      <c r="B13" s="12" t="n">
        <v>0.077878</v>
      </c>
      <c r="C13" s="12" t="n">
        <v>0.0293</v>
      </c>
      <c r="D13" s="12" t="n">
        <v>0.168152</v>
      </c>
      <c r="E13" s="13" t="n">
        <f aca="false">B13/SUM($B$5:$B$16)</f>
        <v>0.0491992595915118</v>
      </c>
      <c r="F13" s="13" t="n">
        <f aca="false">D13/B13-1</f>
        <v>1.15917203831634</v>
      </c>
    </row>
    <row r="14" customFormat="false" ht="15" hidden="false" customHeight="false" outlineLevel="0" collapsed="false">
      <c r="A14" s="6" t="s">
        <v>58</v>
      </c>
      <c r="B14" s="12" t="n">
        <v>0.146565</v>
      </c>
      <c r="C14" s="12" t="n">
        <v>0.100686</v>
      </c>
      <c r="D14" s="12" t="n">
        <v>0.055879</v>
      </c>
      <c r="E14" s="13" t="n">
        <f aca="false">B14/SUM($B$5:$B$16)</f>
        <v>0.0925921246312172</v>
      </c>
      <c r="F14" s="13" t="n">
        <f aca="false">D14/B14-1</f>
        <v>-0.618742537440726</v>
      </c>
    </row>
    <row r="15" customFormat="false" ht="15" hidden="false" customHeight="false" outlineLevel="0" collapsed="false">
      <c r="A15" s="6" t="s">
        <v>59</v>
      </c>
      <c r="B15" s="12" t="n">
        <v>0.170622</v>
      </c>
      <c r="C15" s="12" t="n">
        <v>0.107405</v>
      </c>
      <c r="D15" s="12" t="n">
        <v>0.234623</v>
      </c>
      <c r="E15" s="13" t="n">
        <f aca="false">B15/SUM($B$5:$B$16)</f>
        <v>0.107790082822144</v>
      </c>
      <c r="F15" s="13" t="n">
        <f aca="false">D15/B15-1</f>
        <v>0.375104031133148</v>
      </c>
    </row>
    <row r="16" customFormat="false" ht="15" hidden="false" customHeight="false" outlineLevel="0" collapsed="false">
      <c r="A16" s="6" t="s">
        <v>60</v>
      </c>
      <c r="B16" s="12" t="n">
        <v>0.248764</v>
      </c>
      <c r="C16" s="12" t="n">
        <v>0.18961</v>
      </c>
      <c r="D16" s="12" t="n">
        <v>0.18133</v>
      </c>
      <c r="E16" s="13" t="n">
        <f aca="false">B16/SUM($B$5:$B$16)</f>
        <v>0.15715612384785</v>
      </c>
      <c r="F16" s="13" t="n">
        <f aca="false">D16/B16-1</f>
        <v>-0.271076200736441</v>
      </c>
    </row>
    <row r="17" customFormat="false" ht="15" hidden="false" customHeight="false" outlineLevel="0" collapsed="false">
      <c r="A17" s="14" t="s">
        <v>61</v>
      </c>
      <c r="B17" s="15" t="n">
        <f aca="false">SUM(B5:B16)</f>
        <v>1.58291</v>
      </c>
      <c r="C17" s="15" t="n">
        <f aca="false">SUM(C5:C16)</f>
        <v>1.359568</v>
      </c>
      <c r="D17" s="15" t="n">
        <f aca="false">SUM(D5:D16)</f>
        <v>1.60101</v>
      </c>
      <c r="F17" s="16" t="n">
        <f aca="false">D17/B17-1</f>
        <v>0.0114346362079967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0" hidden="false" customHeight="true" outlineLevel="0" collapsed="false">
      <c r="A4" s="5" t="s">
        <v>64</v>
      </c>
      <c r="B4" s="5" t="s">
        <v>43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61</v>
      </c>
      <c r="J4" s="5" t="s">
        <v>71</v>
      </c>
      <c r="K4" s="5" t="s">
        <v>72</v>
      </c>
    </row>
    <row r="5" customFormat="false" ht="15" hidden="false" customHeight="false" outlineLevel="0" collapsed="false">
      <c r="A5" s="17" t="s">
        <v>73</v>
      </c>
      <c r="B5" s="18" t="n">
        <v>41640</v>
      </c>
      <c r="C5" s="19" t="n">
        <v>376.238</v>
      </c>
      <c r="D5" s="17"/>
      <c r="E5" s="19" t="n">
        <v>369.831</v>
      </c>
      <c r="F5" s="19" t="n">
        <v>0.017</v>
      </c>
      <c r="G5" s="19" t="n">
        <v>0.57</v>
      </c>
      <c r="H5" s="19" t="n">
        <v>0.063</v>
      </c>
      <c r="I5" s="6" t="n">
        <f aca="false">YEAR(B5)</f>
        <v>2014</v>
      </c>
      <c r="J5" s="6" t="n">
        <f aca="false">MONTH(B5)</f>
        <v>1</v>
      </c>
      <c r="K5" s="19" t="n">
        <v>0</v>
      </c>
    </row>
    <row r="6" customFormat="false" ht="15" hidden="false" customHeight="false" outlineLevel="0" collapsed="false">
      <c r="A6" s="17" t="s">
        <v>73</v>
      </c>
      <c r="B6" s="18" t="n">
        <v>41671</v>
      </c>
      <c r="C6" s="19" t="n">
        <v>502.542</v>
      </c>
      <c r="D6" s="17"/>
      <c r="E6" s="19" t="n">
        <v>499.006</v>
      </c>
      <c r="F6" s="19" t="n">
        <v>0.263</v>
      </c>
      <c r="G6" s="19" t="n">
        <v>0.653</v>
      </c>
      <c r="H6" s="19" t="n">
        <v>0.031</v>
      </c>
      <c r="I6" s="6" t="n">
        <f aca="false">YEAR(B6)</f>
        <v>2014</v>
      </c>
      <c r="J6" s="6" t="n">
        <f aca="false">MONTH(B6)</f>
        <v>2</v>
      </c>
      <c r="K6" s="19" t="n">
        <v>0</v>
      </c>
    </row>
    <row r="7" customFormat="false" ht="15" hidden="false" customHeight="false" outlineLevel="0" collapsed="false">
      <c r="A7" s="17" t="s">
        <v>73</v>
      </c>
      <c r="B7" s="18" t="n">
        <v>41699</v>
      </c>
      <c r="C7" s="19" t="n">
        <v>230.081</v>
      </c>
      <c r="D7" s="17"/>
      <c r="E7" s="19" t="n">
        <v>230.849</v>
      </c>
      <c r="F7" s="19" t="n">
        <v>0.006</v>
      </c>
      <c r="G7" s="19" t="n">
        <v>1.463</v>
      </c>
      <c r="H7" s="19" t="n">
        <v>0</v>
      </c>
      <c r="I7" s="6" t="n">
        <f aca="false">YEAR(B7)</f>
        <v>2014</v>
      </c>
      <c r="J7" s="6" t="n">
        <f aca="false">MONTH(B7)</f>
        <v>3</v>
      </c>
      <c r="K7" s="19" t="n">
        <v>0</v>
      </c>
    </row>
    <row r="8" customFormat="false" ht="15" hidden="false" customHeight="false" outlineLevel="0" collapsed="false">
      <c r="A8" s="17" t="s">
        <v>73</v>
      </c>
      <c r="B8" s="18" t="n">
        <v>41730</v>
      </c>
      <c r="C8" s="19" t="n">
        <v>183.188</v>
      </c>
      <c r="D8" s="17"/>
      <c r="E8" s="19" t="n">
        <v>188.032</v>
      </c>
      <c r="F8" s="19" t="n">
        <v>0.066</v>
      </c>
      <c r="G8" s="19" t="n">
        <v>1.142</v>
      </c>
      <c r="H8" s="19" t="n">
        <v>0</v>
      </c>
      <c r="I8" s="6" t="n">
        <f aca="false">YEAR(B8)</f>
        <v>2014</v>
      </c>
      <c r="J8" s="6" t="n">
        <f aca="false">MONTH(B8)</f>
        <v>4</v>
      </c>
      <c r="K8" s="19" t="n">
        <v>0</v>
      </c>
    </row>
    <row r="9" customFormat="false" ht="15" hidden="false" customHeight="false" outlineLevel="0" collapsed="false">
      <c r="A9" s="17" t="s">
        <v>73</v>
      </c>
      <c r="B9" s="18" t="n">
        <v>41760</v>
      </c>
      <c r="C9" s="19" t="n">
        <v>324.149</v>
      </c>
      <c r="D9" s="17"/>
      <c r="E9" s="19" t="n">
        <v>332.228</v>
      </c>
      <c r="F9" s="19" t="n">
        <v>0.763</v>
      </c>
      <c r="G9" s="19" t="n">
        <v>2.272</v>
      </c>
      <c r="H9" s="19" t="n">
        <v>0</v>
      </c>
      <c r="I9" s="6" t="n">
        <f aca="false">YEAR(B9)</f>
        <v>2014</v>
      </c>
      <c r="J9" s="6" t="n">
        <f aca="false">MONTH(B9)</f>
        <v>5</v>
      </c>
      <c r="K9" s="19" t="n">
        <v>0.051</v>
      </c>
    </row>
    <row r="10" customFormat="false" ht="15" hidden="false" customHeight="false" outlineLevel="0" collapsed="false">
      <c r="A10" s="17" t="s">
        <v>73</v>
      </c>
      <c r="B10" s="18" t="n">
        <v>41791</v>
      </c>
      <c r="C10" s="19" t="n">
        <v>202.695</v>
      </c>
      <c r="D10" s="17"/>
      <c r="E10" s="19" t="n">
        <v>220.459</v>
      </c>
      <c r="F10" s="19" t="n">
        <v>3.554</v>
      </c>
      <c r="G10" s="19" t="n">
        <v>3.829</v>
      </c>
      <c r="H10" s="19" t="n">
        <v>0</v>
      </c>
      <c r="I10" s="6" t="n">
        <f aca="false">YEAR(B10)</f>
        <v>2014</v>
      </c>
      <c r="J10" s="6" t="n">
        <f aca="false">MONTH(B10)</f>
        <v>6</v>
      </c>
      <c r="K10" s="19" t="n">
        <v>0.272</v>
      </c>
    </row>
    <row r="11" customFormat="false" ht="15" hidden="false" customHeight="false" outlineLevel="0" collapsed="false">
      <c r="A11" s="17" t="s">
        <v>73</v>
      </c>
      <c r="B11" s="18" t="n">
        <v>41821</v>
      </c>
      <c r="C11" s="19" t="n">
        <v>182.274</v>
      </c>
      <c r="D11" s="17"/>
      <c r="E11" s="19" t="n">
        <v>193.604</v>
      </c>
      <c r="F11" s="19" t="n">
        <v>0.099</v>
      </c>
      <c r="G11" s="19" t="n">
        <v>3.938</v>
      </c>
      <c r="H11" s="19" t="n">
        <v>0</v>
      </c>
      <c r="I11" s="6" t="n">
        <f aca="false">YEAR(B11)</f>
        <v>2014</v>
      </c>
      <c r="J11" s="6" t="n">
        <f aca="false">MONTH(B11)</f>
        <v>7</v>
      </c>
      <c r="K11" s="19" t="n">
        <v>0.316</v>
      </c>
    </row>
    <row r="12" customFormat="false" ht="15" hidden="false" customHeight="false" outlineLevel="0" collapsed="false">
      <c r="A12" s="17" t="s">
        <v>73</v>
      </c>
      <c r="B12" s="18" t="n">
        <v>41852</v>
      </c>
      <c r="C12" s="19" t="n">
        <v>195.838</v>
      </c>
      <c r="D12" s="17"/>
      <c r="E12" s="19" t="n">
        <v>204.89</v>
      </c>
      <c r="F12" s="19" t="n">
        <v>0.051</v>
      </c>
      <c r="G12" s="19" t="n">
        <v>2.226</v>
      </c>
      <c r="H12" s="19" t="n">
        <v>0</v>
      </c>
      <c r="I12" s="6" t="n">
        <f aca="false">YEAR(B12)</f>
        <v>2014</v>
      </c>
      <c r="J12" s="6" t="n">
        <f aca="false">MONTH(B12)</f>
        <v>8</v>
      </c>
      <c r="K12" s="19" t="n">
        <v>0</v>
      </c>
    </row>
    <row r="13" customFormat="false" ht="15" hidden="false" customHeight="false" outlineLevel="0" collapsed="false">
      <c r="A13" s="17" t="s">
        <v>73</v>
      </c>
      <c r="B13" s="18" t="n">
        <v>41883</v>
      </c>
      <c r="C13" s="19" t="n">
        <v>143.407</v>
      </c>
      <c r="D13" s="17"/>
      <c r="E13" s="19" t="n">
        <v>153.236</v>
      </c>
      <c r="F13" s="19" t="n">
        <v>0.007</v>
      </c>
      <c r="G13" s="19" t="n">
        <v>3.258</v>
      </c>
      <c r="H13" s="19" t="n">
        <v>0</v>
      </c>
      <c r="I13" s="6" t="n">
        <f aca="false">YEAR(B13)</f>
        <v>2014</v>
      </c>
      <c r="J13" s="6" t="n">
        <f aca="false">MONTH(B13)</f>
        <v>9</v>
      </c>
      <c r="K13" s="19" t="n">
        <v>0</v>
      </c>
    </row>
    <row r="14" customFormat="false" ht="15" hidden="false" customHeight="false" outlineLevel="0" collapsed="false">
      <c r="A14" s="17" t="s">
        <v>73</v>
      </c>
      <c r="B14" s="18" t="n">
        <v>41913</v>
      </c>
      <c r="C14" s="19" t="n">
        <v>209.419</v>
      </c>
      <c r="D14" s="17"/>
      <c r="E14" s="19" t="n">
        <v>210.534</v>
      </c>
      <c r="F14" s="19" t="n">
        <v>3.437</v>
      </c>
      <c r="G14" s="19" t="n">
        <v>0.774</v>
      </c>
      <c r="H14" s="19" t="n">
        <v>0</v>
      </c>
      <c r="I14" s="6" t="n">
        <f aca="false">YEAR(B14)</f>
        <v>2014</v>
      </c>
      <c r="J14" s="6" t="n">
        <f aca="false">MONTH(B14)</f>
        <v>10</v>
      </c>
      <c r="K14" s="19" t="n">
        <v>0.13</v>
      </c>
    </row>
    <row r="15" customFormat="false" ht="15" hidden="false" customHeight="false" outlineLevel="0" collapsed="false">
      <c r="A15" s="17" t="s">
        <v>73</v>
      </c>
      <c r="B15" s="18" t="n">
        <v>41944</v>
      </c>
      <c r="C15" s="19" t="n">
        <v>208.921</v>
      </c>
      <c r="D15" s="17"/>
      <c r="E15" s="19" t="n">
        <v>195.371</v>
      </c>
      <c r="F15" s="19" t="n">
        <v>1.945</v>
      </c>
      <c r="G15" s="19" t="n">
        <v>0.441</v>
      </c>
      <c r="H15" s="19" t="n">
        <v>0.089</v>
      </c>
      <c r="I15" s="6" t="n">
        <f aca="false">YEAR(B15)</f>
        <v>2014</v>
      </c>
      <c r="J15" s="6" t="n">
        <f aca="false">MONTH(B15)</f>
        <v>11</v>
      </c>
      <c r="K15" s="19" t="n">
        <v>0</v>
      </c>
    </row>
    <row r="16" customFormat="false" ht="15" hidden="false" customHeight="false" outlineLevel="0" collapsed="false">
      <c r="A16" s="17" t="s">
        <v>73</v>
      </c>
      <c r="B16" s="18" t="n">
        <v>41974</v>
      </c>
      <c r="C16" s="19" t="n">
        <v>392.503</v>
      </c>
      <c r="D16" s="17"/>
      <c r="E16" s="19" t="n">
        <v>396.6</v>
      </c>
      <c r="F16" s="19" t="n">
        <v>5.036</v>
      </c>
      <c r="G16" s="19" t="n">
        <v>1.263</v>
      </c>
      <c r="H16" s="19" t="n">
        <v>2.497</v>
      </c>
      <c r="I16" s="6" t="n">
        <f aca="false">YEAR(B16)</f>
        <v>2014</v>
      </c>
      <c r="J16" s="6" t="n">
        <f aca="false">MONTH(B16)</f>
        <v>12</v>
      </c>
      <c r="K16" s="19" t="n">
        <v>0</v>
      </c>
    </row>
    <row r="17" customFormat="false" ht="15" hidden="false" customHeight="false" outlineLevel="0" collapsed="false">
      <c r="A17" s="17" t="s">
        <v>73</v>
      </c>
      <c r="B17" s="18" t="n">
        <v>42005</v>
      </c>
      <c r="C17" s="19" t="n">
        <v>471.024</v>
      </c>
      <c r="D17" s="17"/>
      <c r="E17" s="19" t="n">
        <v>466.427</v>
      </c>
      <c r="F17" s="19" t="n">
        <v>0.626</v>
      </c>
      <c r="G17" s="19" t="n">
        <v>1.898</v>
      </c>
      <c r="H17" s="19" t="n">
        <v>0.871</v>
      </c>
      <c r="I17" s="6" t="n">
        <f aca="false">YEAR(B17)</f>
        <v>2015</v>
      </c>
      <c r="J17" s="6" t="n">
        <f aca="false">MONTH(B17)</f>
        <v>1</v>
      </c>
      <c r="K17" s="19" t="n">
        <v>0</v>
      </c>
    </row>
    <row r="18" customFormat="false" ht="15" hidden="false" customHeight="false" outlineLevel="0" collapsed="false">
      <c r="A18" s="17" t="s">
        <v>73</v>
      </c>
      <c r="B18" s="18" t="n">
        <v>42036</v>
      </c>
      <c r="C18" s="19" t="n">
        <v>341.24</v>
      </c>
      <c r="D18" s="17"/>
      <c r="E18" s="19" t="n">
        <v>320.866</v>
      </c>
      <c r="F18" s="19" t="n">
        <v>0.51</v>
      </c>
      <c r="G18" s="19" t="n">
        <v>1.013</v>
      </c>
      <c r="H18" s="19" t="n">
        <v>0.295</v>
      </c>
      <c r="I18" s="6" t="n">
        <f aca="false">YEAR(B18)</f>
        <v>2015</v>
      </c>
      <c r="J18" s="6" t="n">
        <f aca="false">MONTH(B18)</f>
        <v>2</v>
      </c>
      <c r="K18" s="19" t="n">
        <v>0</v>
      </c>
    </row>
    <row r="19" customFormat="false" ht="15" hidden="false" customHeight="false" outlineLevel="0" collapsed="false">
      <c r="A19" s="17" t="s">
        <v>73</v>
      </c>
      <c r="B19" s="18" t="n">
        <v>42064</v>
      </c>
      <c r="C19" s="19" t="n">
        <v>374.639</v>
      </c>
      <c r="D19" s="17"/>
      <c r="E19" s="19" t="n">
        <v>368.267</v>
      </c>
      <c r="F19" s="19" t="n">
        <v>0.031</v>
      </c>
      <c r="G19" s="19" t="n">
        <v>1.12</v>
      </c>
      <c r="H19" s="19" t="n">
        <v>0.031</v>
      </c>
      <c r="I19" s="6" t="n">
        <f aca="false">YEAR(B19)</f>
        <v>2015</v>
      </c>
      <c r="J19" s="6" t="n">
        <f aca="false">MONTH(B19)</f>
        <v>3</v>
      </c>
      <c r="K19" s="19" t="n">
        <v>0</v>
      </c>
    </row>
    <row r="20" customFormat="false" ht="15" hidden="false" customHeight="false" outlineLevel="0" collapsed="false">
      <c r="A20" s="17" t="s">
        <v>73</v>
      </c>
      <c r="B20" s="18" t="n">
        <v>42095</v>
      </c>
      <c r="C20" s="19" t="n">
        <v>266.987</v>
      </c>
      <c r="D20" s="17"/>
      <c r="E20" s="19" t="n">
        <v>266.842</v>
      </c>
      <c r="F20" s="19" t="n">
        <v>8.768</v>
      </c>
      <c r="G20" s="19" t="n">
        <v>1.736</v>
      </c>
      <c r="H20" s="19" t="n">
        <v>0</v>
      </c>
      <c r="I20" s="6" t="n">
        <f aca="false">YEAR(B20)</f>
        <v>2015</v>
      </c>
      <c r="J20" s="6" t="n">
        <f aca="false">MONTH(B20)</f>
        <v>4</v>
      </c>
      <c r="K20" s="19" t="n">
        <v>0</v>
      </c>
    </row>
    <row r="21" customFormat="false" ht="15" hidden="false" customHeight="false" outlineLevel="0" collapsed="false">
      <c r="A21" s="17" t="s">
        <v>73</v>
      </c>
      <c r="B21" s="18" t="n">
        <v>42125</v>
      </c>
      <c r="C21" s="19" t="n">
        <v>271.688</v>
      </c>
      <c r="D21" s="17"/>
      <c r="E21" s="19" t="n">
        <v>270.159</v>
      </c>
      <c r="F21" s="19" t="n">
        <v>2.684</v>
      </c>
      <c r="G21" s="19" t="n">
        <v>1.618</v>
      </c>
      <c r="H21" s="19" t="n">
        <v>0</v>
      </c>
      <c r="I21" s="6" t="n">
        <f aca="false">YEAR(B21)</f>
        <v>2015</v>
      </c>
      <c r="J21" s="6" t="n">
        <f aca="false">MONTH(B21)</f>
        <v>5</v>
      </c>
      <c r="K21" s="19" t="n">
        <v>0</v>
      </c>
    </row>
    <row r="22" customFormat="false" ht="15" hidden="false" customHeight="false" outlineLevel="0" collapsed="false">
      <c r="A22" s="17" t="s">
        <v>73</v>
      </c>
      <c r="B22" s="18" t="n">
        <v>42156</v>
      </c>
      <c r="C22" s="19" t="n">
        <v>210.969</v>
      </c>
      <c r="D22" s="17"/>
      <c r="E22" s="19" t="n">
        <v>210.591</v>
      </c>
      <c r="F22" s="19" t="n">
        <v>0.081</v>
      </c>
      <c r="G22" s="19" t="n">
        <v>2.141</v>
      </c>
      <c r="H22" s="19" t="n">
        <v>0</v>
      </c>
      <c r="I22" s="6" t="n">
        <f aca="false">YEAR(B22)</f>
        <v>2015</v>
      </c>
      <c r="J22" s="6" t="n">
        <f aca="false">MONTH(B22)</f>
        <v>6</v>
      </c>
      <c r="K22" s="19" t="n">
        <v>0</v>
      </c>
    </row>
    <row r="23" customFormat="false" ht="15" hidden="false" customHeight="false" outlineLevel="0" collapsed="false">
      <c r="A23" s="17" t="s">
        <v>73</v>
      </c>
      <c r="B23" s="18" t="n">
        <v>42186</v>
      </c>
      <c r="C23" s="19" t="n">
        <v>225.238</v>
      </c>
      <c r="D23" s="17"/>
      <c r="E23" s="19" t="n">
        <v>277.3</v>
      </c>
      <c r="F23" s="19" t="n">
        <v>42.219</v>
      </c>
      <c r="G23" s="19" t="n">
        <v>3.261</v>
      </c>
      <c r="H23" s="19" t="n">
        <v>0</v>
      </c>
      <c r="I23" s="6" t="n">
        <f aca="false">YEAR(B23)</f>
        <v>2015</v>
      </c>
      <c r="J23" s="6" t="n">
        <f aca="false">MONTH(B23)</f>
        <v>7</v>
      </c>
      <c r="K23" s="19" t="n">
        <v>0.21</v>
      </c>
    </row>
    <row r="24" customFormat="false" ht="15" hidden="false" customHeight="false" outlineLevel="0" collapsed="false">
      <c r="A24" s="17" t="s">
        <v>73</v>
      </c>
      <c r="B24" s="18" t="n">
        <v>42217</v>
      </c>
      <c r="C24" s="19" t="n">
        <v>207.165</v>
      </c>
      <c r="D24" s="17"/>
      <c r="E24" s="19" t="n">
        <v>211.422</v>
      </c>
      <c r="F24" s="19" t="n">
        <v>0.549</v>
      </c>
      <c r="G24" s="19" t="n">
        <v>2.592</v>
      </c>
      <c r="H24" s="19" t="n">
        <v>0</v>
      </c>
      <c r="I24" s="6" t="n">
        <f aca="false">YEAR(B24)</f>
        <v>2015</v>
      </c>
      <c r="J24" s="6" t="n">
        <f aca="false">MONTH(B24)</f>
        <v>8</v>
      </c>
      <c r="K24" s="19" t="n">
        <v>0</v>
      </c>
    </row>
    <row r="25" customFormat="false" ht="15" hidden="false" customHeight="false" outlineLevel="0" collapsed="false">
      <c r="A25" s="17" t="s">
        <v>73</v>
      </c>
      <c r="B25" s="18" t="n">
        <v>42248</v>
      </c>
      <c r="C25" s="19" t="n">
        <v>369.845</v>
      </c>
      <c r="D25" s="17"/>
      <c r="E25" s="19" t="n">
        <v>359.419</v>
      </c>
      <c r="F25" s="19" t="n">
        <v>0.377</v>
      </c>
      <c r="G25" s="19" t="n">
        <v>1.366</v>
      </c>
      <c r="H25" s="19" t="n">
        <v>0</v>
      </c>
      <c r="I25" s="6" t="n">
        <f aca="false">YEAR(B25)</f>
        <v>2015</v>
      </c>
      <c r="J25" s="6" t="n">
        <f aca="false">MONTH(B25)</f>
        <v>9</v>
      </c>
      <c r="K25" s="19" t="n">
        <v>0.285</v>
      </c>
    </row>
    <row r="26" customFormat="false" ht="15" hidden="false" customHeight="false" outlineLevel="0" collapsed="false">
      <c r="A26" s="17" t="s">
        <v>73</v>
      </c>
      <c r="B26" s="18" t="n">
        <v>42278</v>
      </c>
      <c r="C26" s="19" t="n">
        <v>177.153</v>
      </c>
      <c r="D26" s="17"/>
      <c r="E26" s="19" t="n">
        <v>168.441</v>
      </c>
      <c r="F26" s="19" t="n">
        <v>0.296</v>
      </c>
      <c r="G26" s="19" t="n">
        <v>1.475</v>
      </c>
      <c r="H26" s="19" t="n">
        <v>0</v>
      </c>
      <c r="I26" s="6" t="n">
        <f aca="false">YEAR(B26)</f>
        <v>2015</v>
      </c>
      <c r="J26" s="6" t="n">
        <f aca="false">MONTH(B26)</f>
        <v>10</v>
      </c>
      <c r="K26" s="19" t="n">
        <v>0</v>
      </c>
    </row>
    <row r="27" customFormat="false" ht="15" hidden="false" customHeight="false" outlineLevel="0" collapsed="false">
      <c r="A27" s="17" t="s">
        <v>73</v>
      </c>
      <c r="B27" s="18" t="n">
        <v>42309</v>
      </c>
      <c r="C27" s="19" t="n">
        <v>465.189</v>
      </c>
      <c r="D27" s="17"/>
      <c r="E27" s="19" t="n">
        <v>458.407</v>
      </c>
      <c r="F27" s="19" t="n">
        <v>1.551</v>
      </c>
      <c r="G27" s="19" t="n">
        <v>1.169</v>
      </c>
      <c r="H27" s="19" t="n">
        <v>0</v>
      </c>
      <c r="I27" s="6" t="n">
        <f aca="false">YEAR(B27)</f>
        <v>2015</v>
      </c>
      <c r="J27" s="6" t="n">
        <f aca="false">MONTH(B27)</f>
        <v>11</v>
      </c>
      <c r="K27" s="19" t="n">
        <v>0.045</v>
      </c>
    </row>
    <row r="28" customFormat="false" ht="15" hidden="false" customHeight="false" outlineLevel="0" collapsed="false">
      <c r="A28" s="17" t="s">
        <v>73</v>
      </c>
      <c r="B28" s="18" t="n">
        <v>42339</v>
      </c>
      <c r="C28" s="19" t="n">
        <v>420.789</v>
      </c>
      <c r="D28" s="17"/>
      <c r="E28" s="19" t="n">
        <v>393.668</v>
      </c>
      <c r="F28" s="19" t="n">
        <v>0.114</v>
      </c>
      <c r="G28" s="19" t="n">
        <v>1.431</v>
      </c>
      <c r="H28" s="19" t="n">
        <v>0</v>
      </c>
      <c r="I28" s="6" t="n">
        <f aca="false">YEAR(B28)</f>
        <v>2015</v>
      </c>
      <c r="J28" s="6" t="n">
        <f aca="false">MONTH(B28)</f>
        <v>12</v>
      </c>
      <c r="K28" s="19" t="n">
        <v>0</v>
      </c>
    </row>
    <row r="29" customFormat="false" ht="15" hidden="false" customHeight="false" outlineLevel="0" collapsed="false">
      <c r="A29" s="17" t="s">
        <v>74</v>
      </c>
      <c r="B29" s="18" t="n">
        <v>41640</v>
      </c>
      <c r="C29" s="19" t="n">
        <v>287.035</v>
      </c>
      <c r="D29" s="17"/>
      <c r="E29" s="19" t="n">
        <v>282.547</v>
      </c>
      <c r="F29" s="19" t="n">
        <v>0.064</v>
      </c>
      <c r="G29" s="19" t="n">
        <v>0.207</v>
      </c>
      <c r="H29" s="19" t="n">
        <v>0</v>
      </c>
      <c r="I29" s="6" t="n">
        <f aca="false">YEAR(B29)</f>
        <v>2014</v>
      </c>
      <c r="J29" s="6" t="n">
        <f aca="false">MONTH(B29)</f>
        <v>1</v>
      </c>
      <c r="K29" s="19" t="n">
        <v>0</v>
      </c>
    </row>
    <row r="30" customFormat="false" ht="15" hidden="false" customHeight="false" outlineLevel="0" collapsed="false">
      <c r="A30" s="17" t="s">
        <v>74</v>
      </c>
      <c r="B30" s="18" t="n">
        <v>41671</v>
      </c>
      <c r="C30" s="19" t="n">
        <v>414.165</v>
      </c>
      <c r="D30" s="17"/>
      <c r="E30" s="19" t="n">
        <v>410.836</v>
      </c>
      <c r="F30" s="19" t="n">
        <v>0</v>
      </c>
      <c r="G30" s="19" t="n">
        <v>0.271</v>
      </c>
      <c r="H30" s="19" t="n">
        <v>0.032</v>
      </c>
      <c r="I30" s="6" t="n">
        <f aca="false">YEAR(B30)</f>
        <v>2014</v>
      </c>
      <c r="J30" s="6" t="n">
        <f aca="false">MONTH(B30)</f>
        <v>2</v>
      </c>
      <c r="K30" s="19" t="n">
        <v>0</v>
      </c>
    </row>
    <row r="31" customFormat="false" ht="15" hidden="false" customHeight="false" outlineLevel="0" collapsed="false">
      <c r="A31" s="17" t="s">
        <v>74</v>
      </c>
      <c r="B31" s="18" t="n">
        <v>41699</v>
      </c>
      <c r="C31" s="19" t="n">
        <v>181.649</v>
      </c>
      <c r="D31" s="17"/>
      <c r="E31" s="19" t="n">
        <v>183.546</v>
      </c>
      <c r="F31" s="19" t="n">
        <v>0.035</v>
      </c>
      <c r="G31" s="19" t="n">
        <v>0.777</v>
      </c>
      <c r="H31" s="19" t="n">
        <v>0</v>
      </c>
      <c r="I31" s="6" t="n">
        <f aca="false">YEAR(B31)</f>
        <v>2014</v>
      </c>
      <c r="J31" s="6" t="n">
        <f aca="false">MONTH(B31)</f>
        <v>3</v>
      </c>
      <c r="K31" s="19" t="n">
        <v>0</v>
      </c>
    </row>
    <row r="32" customFormat="false" ht="15" hidden="false" customHeight="false" outlineLevel="0" collapsed="false">
      <c r="A32" s="17" t="s">
        <v>74</v>
      </c>
      <c r="B32" s="18" t="n">
        <v>41730</v>
      </c>
      <c r="C32" s="19" t="n">
        <v>143.017</v>
      </c>
      <c r="D32" s="17"/>
      <c r="E32" s="19" t="n">
        <v>148.773</v>
      </c>
      <c r="F32" s="19" t="n">
        <v>0.157</v>
      </c>
      <c r="G32" s="19" t="n">
        <v>1.629</v>
      </c>
      <c r="H32" s="19" t="n">
        <v>0</v>
      </c>
      <c r="I32" s="6" t="n">
        <f aca="false">YEAR(B32)</f>
        <v>2014</v>
      </c>
      <c r="J32" s="6" t="n">
        <f aca="false">MONTH(B32)</f>
        <v>4</v>
      </c>
      <c r="K32" s="19" t="n">
        <v>0</v>
      </c>
    </row>
    <row r="33" customFormat="false" ht="15" hidden="false" customHeight="false" outlineLevel="0" collapsed="false">
      <c r="A33" s="17" t="s">
        <v>74</v>
      </c>
      <c r="B33" s="18" t="n">
        <v>41760</v>
      </c>
      <c r="C33" s="19" t="n">
        <v>263.633</v>
      </c>
      <c r="D33" s="17"/>
      <c r="E33" s="19" t="n">
        <v>268.996</v>
      </c>
      <c r="F33" s="19" t="n">
        <v>4.24</v>
      </c>
      <c r="G33" s="19" t="n">
        <v>0.611</v>
      </c>
      <c r="H33" s="19" t="n">
        <v>0</v>
      </c>
      <c r="I33" s="6" t="n">
        <f aca="false">YEAR(B33)</f>
        <v>2014</v>
      </c>
      <c r="J33" s="6" t="n">
        <f aca="false">MONTH(B33)</f>
        <v>5</v>
      </c>
      <c r="K33" s="19" t="n">
        <v>0.048</v>
      </c>
    </row>
    <row r="34" customFormat="false" ht="15" hidden="false" customHeight="false" outlineLevel="0" collapsed="false">
      <c r="A34" s="17" t="s">
        <v>74</v>
      </c>
      <c r="B34" s="18" t="n">
        <v>41791</v>
      </c>
      <c r="C34" s="19" t="n">
        <v>157.079</v>
      </c>
      <c r="D34" s="17"/>
      <c r="E34" s="19" t="n">
        <v>173.386</v>
      </c>
      <c r="F34" s="19" t="n">
        <v>8.236</v>
      </c>
      <c r="G34" s="19" t="n">
        <v>2.1</v>
      </c>
      <c r="H34" s="19" t="n">
        <v>0</v>
      </c>
      <c r="I34" s="6" t="n">
        <f aca="false">YEAR(B34)</f>
        <v>2014</v>
      </c>
      <c r="J34" s="6" t="n">
        <f aca="false">MONTH(B34)</f>
        <v>6</v>
      </c>
      <c r="K34" s="19" t="n">
        <v>0.17</v>
      </c>
    </row>
    <row r="35" customFormat="false" ht="15" hidden="false" customHeight="false" outlineLevel="0" collapsed="false">
      <c r="A35" s="17" t="s">
        <v>74</v>
      </c>
      <c r="B35" s="18" t="n">
        <v>41821</v>
      </c>
      <c r="C35" s="19" t="n">
        <v>144.689</v>
      </c>
      <c r="D35" s="17"/>
      <c r="E35" s="19" t="n">
        <v>152.596</v>
      </c>
      <c r="F35" s="19" t="n">
        <v>0.068</v>
      </c>
      <c r="G35" s="19" t="n">
        <v>1.666</v>
      </c>
      <c r="H35" s="19" t="n">
        <v>0</v>
      </c>
      <c r="I35" s="6" t="n">
        <f aca="false">YEAR(B35)</f>
        <v>2014</v>
      </c>
      <c r="J35" s="6" t="n">
        <f aca="false">MONTH(B35)</f>
        <v>7</v>
      </c>
      <c r="K35" s="19" t="n">
        <v>0.273</v>
      </c>
    </row>
    <row r="36" customFormat="false" ht="15" hidden="false" customHeight="false" outlineLevel="0" collapsed="false">
      <c r="A36" s="17" t="s">
        <v>74</v>
      </c>
      <c r="B36" s="18" t="n">
        <v>41852</v>
      </c>
      <c r="C36" s="19" t="n">
        <v>151.771</v>
      </c>
      <c r="D36" s="17"/>
      <c r="E36" s="19" t="n">
        <v>159.152</v>
      </c>
      <c r="F36" s="19" t="n">
        <v>0.037</v>
      </c>
      <c r="G36" s="19" t="n">
        <v>1.113</v>
      </c>
      <c r="H36" s="19" t="n">
        <v>0</v>
      </c>
      <c r="I36" s="6" t="n">
        <f aca="false">YEAR(B36)</f>
        <v>2014</v>
      </c>
      <c r="J36" s="6" t="n">
        <f aca="false">MONTH(B36)</f>
        <v>8</v>
      </c>
      <c r="K36" s="19" t="n">
        <v>0</v>
      </c>
    </row>
    <row r="37" customFormat="false" ht="15" hidden="false" customHeight="false" outlineLevel="0" collapsed="false">
      <c r="A37" s="17" t="s">
        <v>74</v>
      </c>
      <c r="B37" s="18" t="n">
        <v>41883</v>
      </c>
      <c r="C37" s="19" t="n">
        <v>108.236</v>
      </c>
      <c r="D37" s="17"/>
      <c r="E37" s="19" t="n">
        <v>113.211</v>
      </c>
      <c r="F37" s="19" t="n">
        <v>0.073</v>
      </c>
      <c r="G37" s="19" t="n">
        <v>1.106</v>
      </c>
      <c r="H37" s="19" t="n">
        <v>0</v>
      </c>
      <c r="I37" s="6" t="n">
        <f aca="false">YEAR(B37)</f>
        <v>2014</v>
      </c>
      <c r="J37" s="6" t="n">
        <f aca="false">MONTH(B37)</f>
        <v>9</v>
      </c>
      <c r="K37" s="19" t="n">
        <v>0</v>
      </c>
    </row>
    <row r="38" customFormat="false" ht="15" hidden="false" customHeight="false" outlineLevel="0" collapsed="false">
      <c r="A38" s="17" t="s">
        <v>74</v>
      </c>
      <c r="B38" s="18" t="n">
        <v>41913</v>
      </c>
      <c r="C38" s="19" t="n">
        <v>162.583</v>
      </c>
      <c r="D38" s="17"/>
      <c r="E38" s="19" t="n">
        <v>164.009</v>
      </c>
      <c r="F38" s="19" t="n">
        <v>0.056</v>
      </c>
      <c r="G38" s="19" t="n">
        <v>1.274</v>
      </c>
      <c r="H38" s="19" t="n">
        <v>0</v>
      </c>
      <c r="I38" s="6" t="n">
        <f aca="false">YEAR(B38)</f>
        <v>2014</v>
      </c>
      <c r="J38" s="6" t="n">
        <f aca="false">MONTH(B38)</f>
        <v>10</v>
      </c>
      <c r="K38" s="19" t="n">
        <v>0.042</v>
      </c>
    </row>
    <row r="39" customFormat="false" ht="15" hidden="false" customHeight="false" outlineLevel="0" collapsed="false">
      <c r="A39" s="17" t="s">
        <v>74</v>
      </c>
      <c r="B39" s="18" t="n">
        <v>41944</v>
      </c>
      <c r="C39" s="19" t="n">
        <v>150.112</v>
      </c>
      <c r="D39" s="17"/>
      <c r="E39" s="19" t="n">
        <v>147.369</v>
      </c>
      <c r="F39" s="19" t="n">
        <v>1.742</v>
      </c>
      <c r="G39" s="19" t="n">
        <v>1.23</v>
      </c>
      <c r="H39" s="19" t="n">
        <v>0</v>
      </c>
      <c r="I39" s="6" t="n">
        <f aca="false">YEAR(B39)</f>
        <v>2014</v>
      </c>
      <c r="J39" s="6" t="n">
        <f aca="false">MONTH(B39)</f>
        <v>11</v>
      </c>
      <c r="K39" s="19" t="n">
        <v>0</v>
      </c>
    </row>
    <row r="40" customFormat="false" ht="15" hidden="false" customHeight="false" outlineLevel="0" collapsed="false">
      <c r="A40" s="17" t="s">
        <v>74</v>
      </c>
      <c r="B40" s="18" t="n">
        <v>41974</v>
      </c>
      <c r="C40" s="19" t="n">
        <v>320.002</v>
      </c>
      <c r="D40" s="17"/>
      <c r="E40" s="19" t="n">
        <v>335.534</v>
      </c>
      <c r="F40" s="19" t="n">
        <v>9.376</v>
      </c>
      <c r="G40" s="19" t="n">
        <v>2.358</v>
      </c>
      <c r="H40" s="19" t="n">
        <v>2.177</v>
      </c>
      <c r="I40" s="6" t="n">
        <f aca="false">YEAR(B40)</f>
        <v>2014</v>
      </c>
      <c r="J40" s="6" t="n">
        <f aca="false">MONTH(B40)</f>
        <v>12</v>
      </c>
      <c r="K40" s="19" t="n">
        <v>0</v>
      </c>
    </row>
    <row r="41" customFormat="false" ht="15" hidden="false" customHeight="false" outlineLevel="0" collapsed="false">
      <c r="A41" s="17" t="s">
        <v>74</v>
      </c>
      <c r="B41" s="18" t="n">
        <v>42005</v>
      </c>
      <c r="C41" s="19" t="n">
        <v>374.437</v>
      </c>
      <c r="D41" s="17"/>
      <c r="E41" s="19" t="n">
        <v>381.98</v>
      </c>
      <c r="F41" s="19" t="n">
        <v>4.778</v>
      </c>
      <c r="G41" s="19" t="n">
        <v>2.974</v>
      </c>
      <c r="H41" s="19" t="n">
        <v>0.728</v>
      </c>
      <c r="I41" s="6" t="n">
        <f aca="false">YEAR(B41)</f>
        <v>2015</v>
      </c>
      <c r="J41" s="6" t="n">
        <f aca="false">MONTH(B41)</f>
        <v>1</v>
      </c>
      <c r="K41" s="19" t="n">
        <v>0</v>
      </c>
    </row>
    <row r="42" customFormat="false" ht="15" hidden="false" customHeight="false" outlineLevel="0" collapsed="false">
      <c r="A42" s="17" t="s">
        <v>74</v>
      </c>
      <c r="B42" s="18" t="n">
        <v>42036</v>
      </c>
      <c r="C42" s="19" t="n">
        <v>279.724</v>
      </c>
      <c r="D42" s="17"/>
      <c r="E42" s="19" t="n">
        <v>263.54</v>
      </c>
      <c r="F42" s="19" t="n">
        <v>0.065</v>
      </c>
      <c r="G42" s="19" t="n">
        <v>0.834</v>
      </c>
      <c r="H42" s="19" t="n">
        <v>0.052</v>
      </c>
      <c r="I42" s="6" t="n">
        <f aca="false">YEAR(B42)</f>
        <v>2015</v>
      </c>
      <c r="J42" s="6" t="n">
        <f aca="false">MONTH(B42)</f>
        <v>2</v>
      </c>
      <c r="K42" s="19" t="n">
        <v>0</v>
      </c>
    </row>
    <row r="43" customFormat="false" ht="15" hidden="false" customHeight="false" outlineLevel="0" collapsed="false">
      <c r="A43" s="17" t="s">
        <v>74</v>
      </c>
      <c r="B43" s="18" t="n">
        <v>42064</v>
      </c>
      <c r="C43" s="19" t="n">
        <v>241.61</v>
      </c>
      <c r="D43" s="17"/>
      <c r="E43" s="19" t="n">
        <v>238.354</v>
      </c>
      <c r="F43" s="19" t="n">
        <v>0.215</v>
      </c>
      <c r="G43" s="19" t="n">
        <v>0.65</v>
      </c>
      <c r="H43" s="19" t="n">
        <v>0</v>
      </c>
      <c r="I43" s="6" t="n">
        <f aca="false">YEAR(B43)</f>
        <v>2015</v>
      </c>
      <c r="J43" s="6" t="n">
        <f aca="false">MONTH(B43)</f>
        <v>3</v>
      </c>
      <c r="K43" s="19" t="n">
        <v>0</v>
      </c>
    </row>
    <row r="44" customFormat="false" ht="15" hidden="false" customHeight="false" outlineLevel="0" collapsed="false">
      <c r="A44" s="17" t="s">
        <v>74</v>
      </c>
      <c r="B44" s="18" t="n">
        <v>42095</v>
      </c>
      <c r="C44" s="19" t="n">
        <v>214.728</v>
      </c>
      <c r="D44" s="17"/>
      <c r="E44" s="19" t="n">
        <v>217.411</v>
      </c>
      <c r="F44" s="19" t="n">
        <v>6.307</v>
      </c>
      <c r="G44" s="19" t="n">
        <v>1.752</v>
      </c>
      <c r="H44" s="19" t="n">
        <v>0</v>
      </c>
      <c r="I44" s="6" t="n">
        <f aca="false">YEAR(B44)</f>
        <v>2015</v>
      </c>
      <c r="J44" s="6" t="n">
        <f aca="false">MONTH(B44)</f>
        <v>4</v>
      </c>
      <c r="K44" s="19" t="n">
        <v>0</v>
      </c>
    </row>
    <row r="45" customFormat="false" ht="15" hidden="false" customHeight="false" outlineLevel="0" collapsed="false">
      <c r="A45" s="17" t="s">
        <v>74</v>
      </c>
      <c r="B45" s="18" t="n">
        <v>42125</v>
      </c>
      <c r="C45" s="19" t="n">
        <v>210.024</v>
      </c>
      <c r="D45" s="17"/>
      <c r="E45" s="19" t="n">
        <v>218.786</v>
      </c>
      <c r="F45" s="19" t="n">
        <v>6.802</v>
      </c>
      <c r="G45" s="19" t="n">
        <v>1.323</v>
      </c>
      <c r="H45" s="19" t="n">
        <v>0</v>
      </c>
      <c r="I45" s="6" t="n">
        <f aca="false">YEAR(B45)</f>
        <v>2015</v>
      </c>
      <c r="J45" s="6" t="n">
        <f aca="false">MONTH(B45)</f>
        <v>5</v>
      </c>
      <c r="K45" s="19" t="n">
        <v>0</v>
      </c>
    </row>
    <row r="46" customFormat="false" ht="15" hidden="false" customHeight="false" outlineLevel="0" collapsed="false">
      <c r="A46" s="17" t="s">
        <v>74</v>
      </c>
      <c r="B46" s="18" t="n">
        <v>42156</v>
      </c>
      <c r="C46" s="19" t="n">
        <v>164.329</v>
      </c>
      <c r="D46" s="17"/>
      <c r="E46" s="19" t="n">
        <v>167.778</v>
      </c>
      <c r="F46" s="19" t="n">
        <v>0.081</v>
      </c>
      <c r="G46" s="19" t="n">
        <v>1.716</v>
      </c>
      <c r="H46" s="19" t="n">
        <v>0</v>
      </c>
      <c r="I46" s="6" t="n">
        <f aca="false">YEAR(B46)</f>
        <v>2015</v>
      </c>
      <c r="J46" s="6" t="n">
        <f aca="false">MONTH(B46)</f>
        <v>6</v>
      </c>
      <c r="K46" s="19" t="n">
        <v>0</v>
      </c>
    </row>
    <row r="47" customFormat="false" ht="15" hidden="false" customHeight="false" outlineLevel="0" collapsed="false">
      <c r="A47" s="17" t="s">
        <v>74</v>
      </c>
      <c r="B47" s="18" t="n">
        <v>42186</v>
      </c>
      <c r="C47" s="19" t="n">
        <v>214.617</v>
      </c>
      <c r="D47" s="17"/>
      <c r="E47" s="19" t="n">
        <v>229.916</v>
      </c>
      <c r="F47" s="19" t="n">
        <v>0.263</v>
      </c>
      <c r="G47" s="19" t="n">
        <v>4.058</v>
      </c>
      <c r="H47" s="19" t="n">
        <v>0</v>
      </c>
      <c r="I47" s="6" t="n">
        <f aca="false">YEAR(B47)</f>
        <v>2015</v>
      </c>
      <c r="J47" s="6" t="n">
        <f aca="false">MONTH(B47)</f>
        <v>7</v>
      </c>
      <c r="K47" s="19" t="n">
        <v>0.202</v>
      </c>
    </row>
    <row r="48" customFormat="false" ht="15" hidden="false" customHeight="false" outlineLevel="0" collapsed="false">
      <c r="A48" s="17" t="s">
        <v>74</v>
      </c>
      <c r="B48" s="18" t="n">
        <v>42217</v>
      </c>
      <c r="C48" s="19" t="n">
        <v>162.107</v>
      </c>
      <c r="D48" s="17"/>
      <c r="E48" s="19" t="n">
        <v>170.334</v>
      </c>
      <c r="F48" s="19" t="n">
        <v>0.109</v>
      </c>
      <c r="G48" s="19" t="n">
        <v>2.342</v>
      </c>
      <c r="H48" s="19" t="n">
        <v>0</v>
      </c>
      <c r="I48" s="6" t="n">
        <f aca="false">YEAR(B48)</f>
        <v>2015</v>
      </c>
      <c r="J48" s="6" t="n">
        <f aca="false">MONTH(B48)</f>
        <v>8</v>
      </c>
      <c r="K48" s="19" t="n">
        <v>0</v>
      </c>
    </row>
    <row r="49" customFormat="false" ht="15" hidden="false" customHeight="false" outlineLevel="0" collapsed="false">
      <c r="A49" s="17" t="s">
        <v>74</v>
      </c>
      <c r="B49" s="18" t="n">
        <v>42248</v>
      </c>
      <c r="C49" s="19" t="n">
        <v>310.404</v>
      </c>
      <c r="D49" s="17"/>
      <c r="E49" s="19" t="n">
        <v>303.52</v>
      </c>
      <c r="F49" s="19" t="n">
        <v>0.073</v>
      </c>
      <c r="G49" s="19" t="n">
        <v>0.893</v>
      </c>
      <c r="H49" s="19" t="n">
        <v>0</v>
      </c>
      <c r="I49" s="6" t="n">
        <f aca="false">YEAR(B49)</f>
        <v>2015</v>
      </c>
      <c r="J49" s="6" t="n">
        <f aca="false">MONTH(B49)</f>
        <v>9</v>
      </c>
      <c r="K49" s="19" t="n">
        <v>0.144</v>
      </c>
    </row>
    <row r="50" customFormat="false" ht="15" hidden="false" customHeight="false" outlineLevel="0" collapsed="false">
      <c r="A50" s="17" t="s">
        <v>74</v>
      </c>
      <c r="B50" s="18" t="n">
        <v>42278</v>
      </c>
      <c r="C50" s="19" t="n">
        <v>128.245</v>
      </c>
      <c r="D50" s="17"/>
      <c r="E50" s="19" t="n">
        <v>125.406</v>
      </c>
      <c r="F50" s="19" t="n">
        <v>0.039</v>
      </c>
      <c r="G50" s="19" t="n">
        <v>1.325</v>
      </c>
      <c r="H50" s="19" t="n">
        <v>0</v>
      </c>
      <c r="I50" s="6" t="n">
        <f aca="false">YEAR(B50)</f>
        <v>2015</v>
      </c>
      <c r="J50" s="6" t="n">
        <f aca="false">MONTH(B50)</f>
        <v>10</v>
      </c>
      <c r="K50" s="19" t="n">
        <v>0</v>
      </c>
    </row>
    <row r="51" customFormat="false" ht="15" hidden="false" customHeight="false" outlineLevel="0" collapsed="false">
      <c r="A51" s="17" t="s">
        <v>74</v>
      </c>
      <c r="B51" s="18" t="n">
        <v>42309</v>
      </c>
      <c r="C51" s="19" t="n">
        <v>366.99</v>
      </c>
      <c r="D51" s="17"/>
      <c r="E51" s="19" t="n">
        <v>366.884</v>
      </c>
      <c r="F51" s="19" t="n">
        <v>0.392</v>
      </c>
      <c r="G51" s="19" t="n">
        <v>1.2</v>
      </c>
      <c r="H51" s="19" t="n">
        <v>0</v>
      </c>
      <c r="I51" s="6" t="n">
        <f aca="false">YEAR(B51)</f>
        <v>2015</v>
      </c>
      <c r="J51" s="6" t="n">
        <f aca="false">MONTH(B51)</f>
        <v>11</v>
      </c>
      <c r="K51" s="19" t="n">
        <v>0.044</v>
      </c>
    </row>
    <row r="52" customFormat="false" ht="15" hidden="false" customHeight="false" outlineLevel="0" collapsed="false">
      <c r="A52" s="17" t="s">
        <v>74</v>
      </c>
      <c r="B52" s="18" t="n">
        <v>42339</v>
      </c>
      <c r="C52" s="19" t="n">
        <v>283.785</v>
      </c>
      <c r="D52" s="17"/>
      <c r="E52" s="19" t="n">
        <v>271.771</v>
      </c>
      <c r="F52" s="19" t="n">
        <v>0.15</v>
      </c>
      <c r="G52" s="19" t="n">
        <v>0.807</v>
      </c>
      <c r="H52" s="19" t="n">
        <v>0</v>
      </c>
      <c r="I52" s="6" t="n">
        <f aca="false">YEAR(B52)</f>
        <v>2015</v>
      </c>
      <c r="J52" s="6" t="n">
        <f aca="false">MONTH(B52)</f>
        <v>12</v>
      </c>
      <c r="K52" s="19" t="n">
        <v>0</v>
      </c>
    </row>
    <row r="53" customFormat="false" ht="15" hidden="false" customHeight="false" outlineLevel="0" collapsed="false">
      <c r="A53" s="17" t="s">
        <v>75</v>
      </c>
      <c r="B53" s="18" t="n">
        <v>41640</v>
      </c>
      <c r="C53" s="19" t="n">
        <v>329.21</v>
      </c>
      <c r="D53" s="17"/>
      <c r="E53" s="19" t="n">
        <v>321.27</v>
      </c>
      <c r="F53" s="19" t="n">
        <v>0.017</v>
      </c>
      <c r="G53" s="19" t="n">
        <v>0.079</v>
      </c>
      <c r="H53" s="19" t="n">
        <v>0</v>
      </c>
      <c r="I53" s="6" t="n">
        <f aca="false">YEAR(B53)</f>
        <v>2014</v>
      </c>
      <c r="J53" s="6" t="n">
        <f aca="false">MONTH(B53)</f>
        <v>1</v>
      </c>
      <c r="K53" s="19" t="n">
        <v>0</v>
      </c>
    </row>
    <row r="54" customFormat="false" ht="15" hidden="false" customHeight="false" outlineLevel="0" collapsed="false">
      <c r="A54" s="17" t="s">
        <v>75</v>
      </c>
      <c r="B54" s="18" t="n">
        <v>41671</v>
      </c>
      <c r="C54" s="19" t="n">
        <v>469.853</v>
      </c>
      <c r="D54" s="17"/>
      <c r="E54" s="19" t="n">
        <v>467.747</v>
      </c>
      <c r="F54" s="19" t="n">
        <v>3.38</v>
      </c>
      <c r="G54" s="19" t="n">
        <v>0.228</v>
      </c>
      <c r="H54" s="19" t="n">
        <v>0.043</v>
      </c>
      <c r="I54" s="6" t="n">
        <f aca="false">YEAR(B54)</f>
        <v>2014</v>
      </c>
      <c r="J54" s="6" t="n">
        <f aca="false">MONTH(B54)</f>
        <v>2</v>
      </c>
      <c r="K54" s="19" t="n">
        <v>0</v>
      </c>
    </row>
    <row r="55" customFormat="false" ht="15" hidden="false" customHeight="false" outlineLevel="0" collapsed="false">
      <c r="A55" s="17" t="s">
        <v>75</v>
      </c>
      <c r="B55" s="18" t="n">
        <v>41699</v>
      </c>
      <c r="C55" s="19" t="n">
        <v>193.973</v>
      </c>
      <c r="D55" s="17"/>
      <c r="E55" s="19" t="n">
        <v>193.143</v>
      </c>
      <c r="F55" s="19" t="n">
        <v>0.019</v>
      </c>
      <c r="G55" s="19" t="n">
        <v>0.693</v>
      </c>
      <c r="H55" s="19" t="n">
        <v>0</v>
      </c>
      <c r="I55" s="6" t="n">
        <f aca="false">YEAR(B55)</f>
        <v>2014</v>
      </c>
      <c r="J55" s="6" t="n">
        <f aca="false">MONTH(B55)</f>
        <v>3</v>
      </c>
      <c r="K55" s="19" t="n">
        <v>0</v>
      </c>
    </row>
    <row r="56" customFormat="false" ht="15" hidden="false" customHeight="false" outlineLevel="0" collapsed="false">
      <c r="A56" s="17" t="s">
        <v>75</v>
      </c>
      <c r="B56" s="18" t="n">
        <v>41730</v>
      </c>
      <c r="C56" s="19" t="n">
        <v>157.237</v>
      </c>
      <c r="D56" s="17"/>
      <c r="E56" s="19" t="n">
        <v>159.856</v>
      </c>
      <c r="F56" s="19" t="n">
        <v>0.012</v>
      </c>
      <c r="G56" s="19" t="n">
        <v>0.711</v>
      </c>
      <c r="H56" s="19" t="n">
        <v>0</v>
      </c>
      <c r="I56" s="6" t="n">
        <f aca="false">YEAR(B56)</f>
        <v>2014</v>
      </c>
      <c r="J56" s="6" t="n">
        <f aca="false">MONTH(B56)</f>
        <v>4</v>
      </c>
      <c r="K56" s="19" t="n">
        <v>0</v>
      </c>
    </row>
    <row r="57" customFormat="false" ht="15" hidden="false" customHeight="false" outlineLevel="0" collapsed="false">
      <c r="A57" s="17" t="s">
        <v>75</v>
      </c>
      <c r="B57" s="18" t="n">
        <v>41760</v>
      </c>
      <c r="C57" s="19" t="n">
        <v>280.651</v>
      </c>
      <c r="D57" s="17"/>
      <c r="E57" s="19" t="n">
        <v>292.199</v>
      </c>
      <c r="F57" s="19" t="n">
        <v>7.875</v>
      </c>
      <c r="G57" s="19" t="n">
        <v>1.045</v>
      </c>
      <c r="H57" s="19" t="n">
        <v>0</v>
      </c>
      <c r="I57" s="6" t="n">
        <f aca="false">YEAR(B57)</f>
        <v>2014</v>
      </c>
      <c r="J57" s="6" t="n">
        <f aca="false">MONTH(B57)</f>
        <v>5</v>
      </c>
      <c r="K57" s="19" t="n">
        <v>0.052</v>
      </c>
    </row>
    <row r="58" customFormat="false" ht="15" hidden="false" customHeight="false" outlineLevel="0" collapsed="false">
      <c r="A58" s="17" t="s">
        <v>75</v>
      </c>
      <c r="B58" s="18" t="n">
        <v>41791</v>
      </c>
      <c r="C58" s="19" t="n">
        <v>173.086</v>
      </c>
      <c r="D58" s="17"/>
      <c r="E58" s="19" t="n">
        <v>188.982</v>
      </c>
      <c r="F58" s="19" t="n">
        <v>2.977</v>
      </c>
      <c r="G58" s="19" t="n">
        <v>3.792</v>
      </c>
      <c r="H58" s="19" t="n">
        <v>0</v>
      </c>
      <c r="I58" s="6" t="n">
        <f aca="false">YEAR(B58)</f>
        <v>2014</v>
      </c>
      <c r="J58" s="6" t="n">
        <f aca="false">MONTH(B58)</f>
        <v>6</v>
      </c>
      <c r="K58" s="19" t="n">
        <v>0.296</v>
      </c>
    </row>
    <row r="59" customFormat="false" ht="15" hidden="false" customHeight="false" outlineLevel="0" collapsed="false">
      <c r="A59" s="17" t="s">
        <v>75</v>
      </c>
      <c r="B59" s="18" t="n">
        <v>41821</v>
      </c>
      <c r="C59" s="19" t="n">
        <v>152.231</v>
      </c>
      <c r="D59" s="17"/>
      <c r="E59" s="19" t="n">
        <v>162.636</v>
      </c>
      <c r="F59" s="19" t="n">
        <v>0.093</v>
      </c>
      <c r="G59" s="19" t="n">
        <v>2.225</v>
      </c>
      <c r="H59" s="19" t="n">
        <v>0</v>
      </c>
      <c r="I59" s="6" t="n">
        <f aca="false">YEAR(B59)</f>
        <v>2014</v>
      </c>
      <c r="J59" s="6" t="n">
        <f aca="false">MONTH(B59)</f>
        <v>7</v>
      </c>
      <c r="K59" s="19" t="n">
        <v>0.29</v>
      </c>
    </row>
    <row r="60" customFormat="false" ht="15" hidden="false" customHeight="false" outlineLevel="0" collapsed="false">
      <c r="A60" s="17" t="s">
        <v>75</v>
      </c>
      <c r="B60" s="18" t="n">
        <v>41852</v>
      </c>
      <c r="C60" s="19" t="n">
        <v>151.875</v>
      </c>
      <c r="D60" s="17"/>
      <c r="E60" s="19" t="n">
        <v>169.295</v>
      </c>
      <c r="F60" s="19" t="n">
        <v>8.852</v>
      </c>
      <c r="G60" s="19" t="n">
        <v>1.538</v>
      </c>
      <c r="H60" s="19" t="n">
        <v>0</v>
      </c>
      <c r="I60" s="6" t="n">
        <f aca="false">YEAR(B60)</f>
        <v>2014</v>
      </c>
      <c r="J60" s="6" t="n">
        <f aca="false">MONTH(B60)</f>
        <v>8</v>
      </c>
      <c r="K60" s="19" t="n">
        <v>0</v>
      </c>
    </row>
    <row r="61" customFormat="false" ht="15" hidden="false" customHeight="false" outlineLevel="0" collapsed="false">
      <c r="A61" s="17" t="s">
        <v>75</v>
      </c>
      <c r="B61" s="18" t="n">
        <v>41883</v>
      </c>
      <c r="C61" s="19" t="n">
        <v>114.344</v>
      </c>
      <c r="D61" s="17"/>
      <c r="E61" s="19" t="n">
        <v>123.053</v>
      </c>
      <c r="F61" s="19" t="n">
        <v>0.027</v>
      </c>
      <c r="G61" s="19" t="n">
        <v>2.23</v>
      </c>
      <c r="H61" s="19" t="n">
        <v>0</v>
      </c>
      <c r="I61" s="6" t="n">
        <f aca="false">YEAR(B61)</f>
        <v>2014</v>
      </c>
      <c r="J61" s="6" t="n">
        <f aca="false">MONTH(B61)</f>
        <v>9</v>
      </c>
      <c r="K61" s="19" t="n">
        <v>0</v>
      </c>
    </row>
    <row r="62" customFormat="false" ht="15" hidden="false" customHeight="false" outlineLevel="0" collapsed="false">
      <c r="A62" s="17" t="s">
        <v>75</v>
      </c>
      <c r="B62" s="18" t="n">
        <v>41913</v>
      </c>
      <c r="C62" s="19" t="n">
        <v>176.785</v>
      </c>
      <c r="D62" s="17"/>
      <c r="E62" s="19" t="n">
        <v>179.178</v>
      </c>
      <c r="F62" s="19" t="n">
        <v>0.174</v>
      </c>
      <c r="G62" s="19" t="n">
        <v>1.29</v>
      </c>
      <c r="H62" s="19" t="n">
        <v>0</v>
      </c>
      <c r="I62" s="6" t="n">
        <f aca="false">YEAR(B62)</f>
        <v>2014</v>
      </c>
      <c r="J62" s="6" t="n">
        <f aca="false">MONTH(B62)</f>
        <v>10</v>
      </c>
      <c r="K62" s="19" t="n">
        <v>0.037</v>
      </c>
    </row>
    <row r="63" customFormat="false" ht="15" hidden="false" customHeight="false" outlineLevel="0" collapsed="false">
      <c r="A63" s="17" t="s">
        <v>75</v>
      </c>
      <c r="B63" s="18" t="n">
        <v>41944</v>
      </c>
      <c r="C63" s="19" t="n">
        <v>158.611</v>
      </c>
      <c r="D63" s="17"/>
      <c r="E63" s="19" t="n">
        <v>153.018</v>
      </c>
      <c r="F63" s="19" t="n">
        <v>0.056</v>
      </c>
      <c r="G63" s="19" t="n">
        <v>0.395</v>
      </c>
      <c r="H63" s="19" t="n">
        <v>0</v>
      </c>
      <c r="I63" s="6" t="n">
        <f aca="false">YEAR(B63)</f>
        <v>2014</v>
      </c>
      <c r="J63" s="6" t="n">
        <f aca="false">MONTH(B63)</f>
        <v>11</v>
      </c>
      <c r="K63" s="19" t="n">
        <v>0</v>
      </c>
    </row>
    <row r="64" customFormat="false" ht="15" hidden="false" customHeight="false" outlineLevel="0" collapsed="false">
      <c r="A64" s="17" t="s">
        <v>75</v>
      </c>
      <c r="B64" s="18" t="n">
        <v>41974</v>
      </c>
      <c r="C64" s="19" t="n">
        <v>382.251</v>
      </c>
      <c r="D64" s="17"/>
      <c r="E64" s="19" t="n">
        <v>377.094</v>
      </c>
      <c r="F64" s="19" t="n">
        <v>2.879</v>
      </c>
      <c r="G64" s="19" t="n">
        <v>0.555</v>
      </c>
      <c r="H64" s="19" t="n">
        <v>0.363</v>
      </c>
      <c r="I64" s="6" t="n">
        <f aca="false">YEAR(B64)</f>
        <v>2014</v>
      </c>
      <c r="J64" s="6" t="n">
        <f aca="false">MONTH(B64)</f>
        <v>12</v>
      </c>
      <c r="K64" s="19" t="n">
        <v>0</v>
      </c>
    </row>
    <row r="65" customFormat="false" ht="15" hidden="false" customHeight="false" outlineLevel="0" collapsed="false">
      <c r="A65" s="17" t="s">
        <v>75</v>
      </c>
      <c r="B65" s="18" t="n">
        <v>42005</v>
      </c>
      <c r="C65" s="19" t="n">
        <v>419.532</v>
      </c>
      <c r="D65" s="17"/>
      <c r="E65" s="19" t="n">
        <v>421.753</v>
      </c>
      <c r="F65" s="19" t="n">
        <v>3.071</v>
      </c>
      <c r="G65" s="19" t="n">
        <v>1.086</v>
      </c>
      <c r="H65" s="19" t="n">
        <v>0.345</v>
      </c>
      <c r="I65" s="6" t="n">
        <f aca="false">YEAR(B65)</f>
        <v>2015</v>
      </c>
      <c r="J65" s="6" t="n">
        <f aca="false">MONTH(B65)</f>
        <v>1</v>
      </c>
      <c r="K65" s="19" t="n">
        <v>0</v>
      </c>
    </row>
    <row r="66" customFormat="false" ht="15" hidden="false" customHeight="false" outlineLevel="0" collapsed="false">
      <c r="A66" s="17" t="s">
        <v>75</v>
      </c>
      <c r="B66" s="18" t="n">
        <v>42036</v>
      </c>
      <c r="C66" s="19" t="n">
        <v>288.866</v>
      </c>
      <c r="D66" s="17"/>
      <c r="E66" s="19" t="n">
        <v>276.758</v>
      </c>
      <c r="F66" s="19" t="n">
        <v>1.961</v>
      </c>
      <c r="G66" s="19" t="n">
        <v>0.765</v>
      </c>
      <c r="H66" s="19" t="n">
        <v>0.038</v>
      </c>
      <c r="I66" s="6" t="n">
        <f aca="false">YEAR(B66)</f>
        <v>2015</v>
      </c>
      <c r="J66" s="6" t="n">
        <f aca="false">MONTH(B66)</f>
        <v>2</v>
      </c>
      <c r="K66" s="19" t="n">
        <v>0</v>
      </c>
    </row>
    <row r="67" customFormat="false" ht="15" hidden="false" customHeight="false" outlineLevel="0" collapsed="false">
      <c r="A67" s="17" t="s">
        <v>75</v>
      </c>
      <c r="B67" s="18" t="n">
        <v>42064</v>
      </c>
      <c r="C67" s="19" t="n">
        <v>322.976</v>
      </c>
      <c r="D67" s="17"/>
      <c r="E67" s="19" t="n">
        <v>320.05</v>
      </c>
      <c r="F67" s="19" t="n">
        <v>0.018</v>
      </c>
      <c r="G67" s="19" t="n">
        <v>0.764</v>
      </c>
      <c r="H67" s="19" t="n">
        <v>0</v>
      </c>
      <c r="I67" s="6" t="n">
        <f aca="false">YEAR(B67)</f>
        <v>2015</v>
      </c>
      <c r="J67" s="6" t="n">
        <f aca="false">MONTH(B67)</f>
        <v>3</v>
      </c>
      <c r="K67" s="19" t="n">
        <v>0</v>
      </c>
    </row>
    <row r="68" customFormat="false" ht="15" hidden="false" customHeight="false" outlineLevel="0" collapsed="false">
      <c r="A68" s="17" t="s">
        <v>75</v>
      </c>
      <c r="B68" s="18" t="n">
        <v>42095</v>
      </c>
      <c r="C68" s="19" t="n">
        <v>225.665</v>
      </c>
      <c r="D68" s="17"/>
      <c r="E68" s="19" t="n">
        <v>224.996</v>
      </c>
      <c r="F68" s="19" t="n">
        <v>1.594</v>
      </c>
      <c r="G68" s="19" t="n">
        <v>0.918</v>
      </c>
      <c r="H68" s="19" t="n">
        <v>0</v>
      </c>
      <c r="I68" s="6" t="n">
        <f aca="false">YEAR(B68)</f>
        <v>2015</v>
      </c>
      <c r="J68" s="6" t="n">
        <f aca="false">MONTH(B68)</f>
        <v>4</v>
      </c>
      <c r="K68" s="19" t="n">
        <v>0</v>
      </c>
    </row>
    <row r="69" customFormat="false" ht="15" hidden="false" customHeight="false" outlineLevel="0" collapsed="false">
      <c r="A69" s="17" t="s">
        <v>75</v>
      </c>
      <c r="B69" s="18" t="n">
        <v>42125</v>
      </c>
      <c r="C69" s="19" t="n">
        <v>215.276</v>
      </c>
      <c r="D69" s="17"/>
      <c r="E69" s="19" t="n">
        <v>232.184</v>
      </c>
      <c r="F69" s="19" t="n">
        <v>16.167</v>
      </c>
      <c r="G69" s="19" t="n">
        <v>0.68</v>
      </c>
      <c r="H69" s="19" t="n">
        <v>0</v>
      </c>
      <c r="I69" s="6" t="n">
        <f aca="false">YEAR(B69)</f>
        <v>2015</v>
      </c>
      <c r="J69" s="6" t="n">
        <f aca="false">MONTH(B69)</f>
        <v>5</v>
      </c>
      <c r="K69" s="19" t="n">
        <v>0</v>
      </c>
    </row>
    <row r="70" customFormat="false" ht="15" hidden="false" customHeight="false" outlineLevel="0" collapsed="false">
      <c r="A70" s="17" t="s">
        <v>75</v>
      </c>
      <c r="B70" s="18" t="n">
        <v>42156</v>
      </c>
      <c r="C70" s="19" t="n">
        <v>167.727</v>
      </c>
      <c r="D70" s="17"/>
      <c r="E70" s="19" t="n">
        <v>173.348</v>
      </c>
      <c r="F70" s="19" t="n">
        <v>0.105</v>
      </c>
      <c r="G70" s="19" t="n">
        <v>1.827</v>
      </c>
      <c r="H70" s="19" t="n">
        <v>0</v>
      </c>
      <c r="I70" s="6" t="n">
        <f aca="false">YEAR(B70)</f>
        <v>2015</v>
      </c>
      <c r="J70" s="6" t="n">
        <f aca="false">MONTH(B70)</f>
        <v>6</v>
      </c>
      <c r="K70" s="19" t="n">
        <v>0</v>
      </c>
    </row>
    <row r="71" customFormat="false" ht="15" hidden="false" customHeight="false" outlineLevel="0" collapsed="false">
      <c r="A71" s="17" t="s">
        <v>75</v>
      </c>
      <c r="B71" s="18" t="n">
        <v>42186</v>
      </c>
      <c r="C71" s="19" t="n">
        <v>230.377</v>
      </c>
      <c r="D71" s="17"/>
      <c r="E71" s="19" t="n">
        <v>247.425</v>
      </c>
      <c r="F71" s="19" t="n">
        <v>0.212</v>
      </c>
      <c r="G71" s="19" t="n">
        <v>4.909</v>
      </c>
      <c r="H71" s="19" t="n">
        <v>0</v>
      </c>
      <c r="I71" s="6" t="n">
        <f aca="false">YEAR(B71)</f>
        <v>2015</v>
      </c>
      <c r="J71" s="6" t="n">
        <f aca="false">MONTH(B71)</f>
        <v>7</v>
      </c>
      <c r="K71" s="19" t="n">
        <v>0.238</v>
      </c>
    </row>
    <row r="72" customFormat="false" ht="15" hidden="false" customHeight="false" outlineLevel="0" collapsed="false">
      <c r="A72" s="17" t="s">
        <v>75</v>
      </c>
      <c r="B72" s="18" t="n">
        <v>42217</v>
      </c>
      <c r="C72" s="19" t="n">
        <v>169.945</v>
      </c>
      <c r="D72" s="17"/>
      <c r="E72" s="19" t="n">
        <v>182.689</v>
      </c>
      <c r="F72" s="19" t="n">
        <v>2.478</v>
      </c>
      <c r="G72" s="19" t="n">
        <v>2.954</v>
      </c>
      <c r="H72" s="19" t="n">
        <v>0</v>
      </c>
      <c r="I72" s="6" t="n">
        <f aca="false">YEAR(B72)</f>
        <v>2015</v>
      </c>
      <c r="J72" s="6" t="n">
        <f aca="false">MONTH(B72)</f>
        <v>8</v>
      </c>
      <c r="K72" s="19" t="n">
        <v>0</v>
      </c>
    </row>
    <row r="73" customFormat="false" ht="15" hidden="false" customHeight="false" outlineLevel="0" collapsed="false">
      <c r="A73" s="17" t="s">
        <v>75</v>
      </c>
      <c r="B73" s="18" t="n">
        <v>42248</v>
      </c>
      <c r="C73" s="19" t="n">
        <v>323.156</v>
      </c>
      <c r="D73" s="17"/>
      <c r="E73" s="19" t="n">
        <v>320.217</v>
      </c>
      <c r="F73" s="19" t="n">
        <v>0.028</v>
      </c>
      <c r="G73" s="19" t="n">
        <v>0.796</v>
      </c>
      <c r="H73" s="19" t="n">
        <v>0</v>
      </c>
      <c r="I73" s="6" t="n">
        <f aca="false">YEAR(B73)</f>
        <v>2015</v>
      </c>
      <c r="J73" s="6" t="n">
        <f aca="false">MONTH(B73)</f>
        <v>9</v>
      </c>
      <c r="K73" s="19" t="n">
        <v>0.191</v>
      </c>
    </row>
    <row r="74" customFormat="false" ht="15" hidden="false" customHeight="false" outlineLevel="0" collapsed="false">
      <c r="A74" s="17" t="s">
        <v>75</v>
      </c>
      <c r="B74" s="18" t="n">
        <v>42278</v>
      </c>
      <c r="C74" s="19" t="n">
        <v>128.85</v>
      </c>
      <c r="D74" s="17"/>
      <c r="E74" s="19" t="n">
        <v>127.202</v>
      </c>
      <c r="F74" s="19" t="n">
        <v>0.082</v>
      </c>
      <c r="G74" s="19" t="n">
        <v>0.715</v>
      </c>
      <c r="H74" s="19" t="n">
        <v>0</v>
      </c>
      <c r="I74" s="6" t="n">
        <f aca="false">YEAR(B74)</f>
        <v>2015</v>
      </c>
      <c r="J74" s="6" t="n">
        <f aca="false">MONTH(B74)</f>
        <v>10</v>
      </c>
      <c r="K74" s="19" t="n">
        <v>0</v>
      </c>
    </row>
    <row r="75" customFormat="false" ht="15" hidden="false" customHeight="false" outlineLevel="0" collapsed="false">
      <c r="A75" s="17" t="s">
        <v>75</v>
      </c>
      <c r="B75" s="18" t="n">
        <v>42309</v>
      </c>
      <c r="C75" s="19" t="n">
        <v>403.946</v>
      </c>
      <c r="D75" s="17"/>
      <c r="E75" s="19" t="n">
        <v>407.065</v>
      </c>
      <c r="F75" s="19" t="n">
        <v>6.479</v>
      </c>
      <c r="G75" s="19" t="n">
        <v>0.922</v>
      </c>
      <c r="H75" s="19" t="n">
        <v>0.075</v>
      </c>
      <c r="I75" s="6" t="n">
        <f aca="false">YEAR(B75)</f>
        <v>2015</v>
      </c>
      <c r="J75" s="6" t="n">
        <f aca="false">MONTH(B75)</f>
        <v>11</v>
      </c>
      <c r="K75" s="19" t="n">
        <v>0</v>
      </c>
    </row>
    <row r="76" customFormat="false" ht="15" hidden="false" customHeight="false" outlineLevel="0" collapsed="false">
      <c r="A76" s="17" t="s">
        <v>75</v>
      </c>
      <c r="B76" s="18" t="n">
        <v>42339</v>
      </c>
      <c r="C76" s="19" t="n">
        <v>311.581</v>
      </c>
      <c r="D76" s="17"/>
      <c r="E76" s="19" t="n">
        <v>296.409</v>
      </c>
      <c r="F76" s="19" t="n">
        <v>0.192</v>
      </c>
      <c r="G76" s="19" t="n">
        <v>0.535</v>
      </c>
      <c r="H76" s="19" t="n">
        <v>0</v>
      </c>
      <c r="I76" s="6" t="n">
        <f aca="false">YEAR(B76)</f>
        <v>2015</v>
      </c>
      <c r="J76" s="6" t="n">
        <f aca="false">MONTH(B76)</f>
        <v>12</v>
      </c>
      <c r="K76" s="19" t="n">
        <v>0</v>
      </c>
    </row>
    <row r="77" customFormat="false" ht="15" hidden="false" customHeight="false" outlineLevel="0" collapsed="false">
      <c r="A77" s="17" t="s">
        <v>76</v>
      </c>
      <c r="B77" s="18" t="n">
        <v>41640</v>
      </c>
      <c r="C77" s="19" t="n">
        <v>313.001</v>
      </c>
      <c r="D77" s="17"/>
      <c r="E77" s="19" t="n">
        <v>320.876</v>
      </c>
      <c r="F77" s="19" t="n">
        <v>8.261</v>
      </c>
      <c r="G77" s="19" t="n">
        <v>0.64</v>
      </c>
      <c r="H77" s="19" t="n">
        <v>0.021</v>
      </c>
      <c r="I77" s="6" t="n">
        <f aca="false">YEAR(B77)</f>
        <v>2014</v>
      </c>
      <c r="J77" s="6" t="n">
        <f aca="false">MONTH(B77)</f>
        <v>1</v>
      </c>
      <c r="K77" s="19" t="n">
        <v>0</v>
      </c>
    </row>
    <row r="78" customFormat="false" ht="15" hidden="false" customHeight="false" outlineLevel="0" collapsed="false">
      <c r="A78" s="17" t="s">
        <v>76</v>
      </c>
      <c r="B78" s="18" t="n">
        <v>41671</v>
      </c>
      <c r="C78" s="19" t="n">
        <v>443.942</v>
      </c>
      <c r="D78" s="17"/>
      <c r="E78" s="19" t="n">
        <v>444.346</v>
      </c>
      <c r="F78" s="19" t="n">
        <v>0</v>
      </c>
      <c r="G78" s="19" t="n">
        <v>0.66</v>
      </c>
      <c r="H78" s="19" t="n">
        <v>0.053</v>
      </c>
      <c r="I78" s="6" t="n">
        <f aca="false">YEAR(B78)</f>
        <v>2014</v>
      </c>
      <c r="J78" s="6" t="n">
        <f aca="false">MONTH(B78)</f>
        <v>2</v>
      </c>
      <c r="K78" s="19" t="n">
        <v>0</v>
      </c>
    </row>
    <row r="79" customFormat="false" ht="15" hidden="false" customHeight="false" outlineLevel="0" collapsed="false">
      <c r="A79" s="17" t="s">
        <v>76</v>
      </c>
      <c r="B79" s="18" t="n">
        <v>41699</v>
      </c>
      <c r="C79" s="19" t="n">
        <v>216.693</v>
      </c>
      <c r="D79" s="17"/>
      <c r="E79" s="19" t="n">
        <v>212.329</v>
      </c>
      <c r="F79" s="19" t="n">
        <v>0.021</v>
      </c>
      <c r="G79" s="19" t="n">
        <v>0.85</v>
      </c>
      <c r="H79" s="19" t="n">
        <v>0</v>
      </c>
      <c r="I79" s="6" t="n">
        <f aca="false">YEAR(B79)</f>
        <v>2014</v>
      </c>
      <c r="J79" s="6" t="n">
        <f aca="false">MONTH(B79)</f>
        <v>3</v>
      </c>
      <c r="K79" s="19" t="n">
        <v>0</v>
      </c>
    </row>
    <row r="80" customFormat="false" ht="15" hidden="false" customHeight="false" outlineLevel="0" collapsed="false">
      <c r="A80" s="17" t="s">
        <v>76</v>
      </c>
      <c r="B80" s="18" t="n">
        <v>41730</v>
      </c>
      <c r="C80" s="19" t="n">
        <v>165.974</v>
      </c>
      <c r="D80" s="17"/>
      <c r="E80" s="19" t="n">
        <v>170.414</v>
      </c>
      <c r="F80" s="19" t="n">
        <v>2.167</v>
      </c>
      <c r="G80" s="19" t="n">
        <v>1.067</v>
      </c>
      <c r="H80" s="19" t="n">
        <v>0</v>
      </c>
      <c r="I80" s="6" t="n">
        <f aca="false">YEAR(B80)</f>
        <v>2014</v>
      </c>
      <c r="J80" s="6" t="n">
        <f aca="false">MONTH(B80)</f>
        <v>4</v>
      </c>
      <c r="K80" s="19" t="n">
        <v>0</v>
      </c>
    </row>
    <row r="81" customFormat="false" ht="15" hidden="false" customHeight="false" outlineLevel="0" collapsed="false">
      <c r="A81" s="17" t="s">
        <v>76</v>
      </c>
      <c r="B81" s="18" t="n">
        <v>41760</v>
      </c>
      <c r="C81" s="19" t="n">
        <v>309.447</v>
      </c>
      <c r="D81" s="17"/>
      <c r="E81" s="19" t="n">
        <v>312.66</v>
      </c>
      <c r="F81" s="19" t="n">
        <v>0.709</v>
      </c>
      <c r="G81" s="19" t="n">
        <v>1.855</v>
      </c>
      <c r="H81" s="19" t="n">
        <v>0</v>
      </c>
      <c r="I81" s="6" t="n">
        <f aca="false">YEAR(B81)</f>
        <v>2014</v>
      </c>
      <c r="J81" s="6" t="n">
        <f aca="false">MONTH(B81)</f>
        <v>5</v>
      </c>
      <c r="K81" s="19" t="n">
        <v>0.042</v>
      </c>
    </row>
    <row r="82" customFormat="false" ht="15" hidden="false" customHeight="false" outlineLevel="0" collapsed="false">
      <c r="A82" s="17" t="s">
        <v>76</v>
      </c>
      <c r="B82" s="18" t="n">
        <v>41791</v>
      </c>
      <c r="C82" s="19" t="n">
        <v>173.543</v>
      </c>
      <c r="D82" s="17"/>
      <c r="E82" s="19" t="n">
        <v>205.117</v>
      </c>
      <c r="F82" s="19" t="n">
        <v>22.928</v>
      </c>
      <c r="G82" s="19" t="n">
        <v>2.967</v>
      </c>
      <c r="H82" s="19" t="n">
        <v>0</v>
      </c>
      <c r="I82" s="6" t="n">
        <f aca="false">YEAR(B82)</f>
        <v>2014</v>
      </c>
      <c r="J82" s="6" t="n">
        <f aca="false">MONTH(B82)</f>
        <v>6</v>
      </c>
      <c r="K82" s="19" t="n">
        <v>0.297</v>
      </c>
    </row>
    <row r="83" customFormat="false" ht="15" hidden="false" customHeight="false" outlineLevel="0" collapsed="false">
      <c r="A83" s="17" t="s">
        <v>76</v>
      </c>
      <c r="B83" s="18" t="n">
        <v>41821</v>
      </c>
      <c r="C83" s="19" t="n">
        <v>167.644</v>
      </c>
      <c r="D83" s="17"/>
      <c r="E83" s="19" t="n">
        <v>176.347</v>
      </c>
      <c r="F83" s="19" t="n">
        <v>0.093</v>
      </c>
      <c r="G83" s="19" t="n">
        <v>2.711</v>
      </c>
      <c r="H83" s="19" t="n">
        <v>0</v>
      </c>
      <c r="I83" s="6" t="n">
        <f aca="false">YEAR(B83)</f>
        <v>2014</v>
      </c>
      <c r="J83" s="6" t="n">
        <f aca="false">MONTH(B83)</f>
        <v>7</v>
      </c>
      <c r="K83" s="19" t="n">
        <v>0.098</v>
      </c>
    </row>
    <row r="84" customFormat="false" ht="15" hidden="false" customHeight="false" outlineLevel="0" collapsed="false">
      <c r="A84" s="17" t="s">
        <v>76</v>
      </c>
      <c r="B84" s="18" t="n">
        <v>41852</v>
      </c>
      <c r="C84" s="19" t="n">
        <v>182.279</v>
      </c>
      <c r="D84" s="17"/>
      <c r="E84" s="19" t="n">
        <v>187.524</v>
      </c>
      <c r="F84" s="19" t="n">
        <v>0.016</v>
      </c>
      <c r="G84" s="19" t="n">
        <v>1.432</v>
      </c>
      <c r="H84" s="19" t="n">
        <v>0</v>
      </c>
      <c r="I84" s="6" t="n">
        <f aca="false">YEAR(B84)</f>
        <v>2014</v>
      </c>
      <c r="J84" s="6" t="n">
        <f aca="false">MONTH(B84)</f>
        <v>8</v>
      </c>
      <c r="K84" s="19" t="n">
        <v>0</v>
      </c>
    </row>
    <row r="85" customFormat="false" ht="15" hidden="false" customHeight="false" outlineLevel="0" collapsed="false">
      <c r="A85" s="17" t="s">
        <v>76</v>
      </c>
      <c r="B85" s="18" t="n">
        <v>41883</v>
      </c>
      <c r="C85" s="19" t="n">
        <v>130.31</v>
      </c>
      <c r="D85" s="17"/>
      <c r="E85" s="19" t="n">
        <v>136.669</v>
      </c>
      <c r="F85" s="19" t="n">
        <v>1.744</v>
      </c>
      <c r="G85" s="19" t="n">
        <v>2.058</v>
      </c>
      <c r="H85" s="19" t="n">
        <v>0</v>
      </c>
      <c r="I85" s="6" t="n">
        <f aca="false">YEAR(B85)</f>
        <v>2014</v>
      </c>
      <c r="J85" s="6" t="n">
        <f aca="false">MONTH(B85)</f>
        <v>9</v>
      </c>
      <c r="K85" s="19" t="n">
        <v>0</v>
      </c>
    </row>
    <row r="86" customFormat="false" ht="15" hidden="false" customHeight="false" outlineLevel="0" collapsed="false">
      <c r="A86" s="17" t="s">
        <v>76</v>
      </c>
      <c r="B86" s="18" t="n">
        <v>41913</v>
      </c>
      <c r="C86" s="19" t="n">
        <v>183.255</v>
      </c>
      <c r="D86" s="17"/>
      <c r="E86" s="19" t="n">
        <v>187.927</v>
      </c>
      <c r="F86" s="19" t="n">
        <v>3.356</v>
      </c>
      <c r="G86" s="19" t="n">
        <v>0.891</v>
      </c>
      <c r="H86" s="19" t="n">
        <v>0</v>
      </c>
      <c r="I86" s="6" t="n">
        <f aca="false">YEAR(B86)</f>
        <v>2014</v>
      </c>
      <c r="J86" s="6" t="n">
        <f aca="false">MONTH(B86)</f>
        <v>10</v>
      </c>
      <c r="K86" s="19" t="n">
        <v>0.162</v>
      </c>
    </row>
    <row r="87" customFormat="false" ht="15" hidden="false" customHeight="false" outlineLevel="0" collapsed="false">
      <c r="A87" s="17" t="s">
        <v>76</v>
      </c>
      <c r="B87" s="18" t="n">
        <v>41944</v>
      </c>
      <c r="C87" s="19" t="n">
        <v>161.958</v>
      </c>
      <c r="D87" s="17"/>
      <c r="E87" s="19" t="n">
        <v>166.4</v>
      </c>
      <c r="F87" s="19" t="n">
        <v>3.992</v>
      </c>
      <c r="G87" s="19" t="n">
        <v>2.61</v>
      </c>
      <c r="H87" s="19" t="n">
        <v>0.008</v>
      </c>
      <c r="I87" s="6" t="n">
        <f aca="false">YEAR(B87)</f>
        <v>2014</v>
      </c>
      <c r="J87" s="6" t="n">
        <f aca="false">MONTH(B87)</f>
        <v>11</v>
      </c>
      <c r="K87" s="19" t="n">
        <v>0</v>
      </c>
    </row>
    <row r="88" customFormat="false" ht="15" hidden="false" customHeight="false" outlineLevel="0" collapsed="false">
      <c r="A88" s="17" t="s">
        <v>76</v>
      </c>
      <c r="B88" s="18" t="n">
        <v>41974</v>
      </c>
      <c r="C88" s="19" t="n">
        <v>407.118</v>
      </c>
      <c r="D88" s="17"/>
      <c r="E88" s="19" t="n">
        <v>412.119</v>
      </c>
      <c r="F88" s="19" t="n">
        <v>0.755</v>
      </c>
      <c r="G88" s="19" t="n">
        <v>2.63</v>
      </c>
      <c r="H88" s="19" t="n">
        <v>1.679</v>
      </c>
      <c r="I88" s="6" t="n">
        <f aca="false">YEAR(B88)</f>
        <v>2014</v>
      </c>
      <c r="J88" s="6" t="n">
        <f aca="false">MONTH(B88)</f>
        <v>12</v>
      </c>
      <c r="K88" s="19" t="n">
        <v>0</v>
      </c>
    </row>
    <row r="89" customFormat="false" ht="15" hidden="false" customHeight="false" outlineLevel="0" collapsed="false">
      <c r="A89" s="17" t="s">
        <v>76</v>
      </c>
      <c r="B89" s="18" t="n">
        <v>42005</v>
      </c>
      <c r="C89" s="19" t="n">
        <v>432.076</v>
      </c>
      <c r="D89" s="17"/>
      <c r="E89" s="19" t="n">
        <v>438.497</v>
      </c>
      <c r="F89" s="19" t="n">
        <v>4.127</v>
      </c>
      <c r="G89" s="19" t="n">
        <v>1.964</v>
      </c>
      <c r="H89" s="19" t="n">
        <v>0.862</v>
      </c>
      <c r="I89" s="6" t="n">
        <f aca="false">YEAR(B89)</f>
        <v>2015</v>
      </c>
      <c r="J89" s="6" t="n">
        <f aca="false">MONTH(B89)</f>
        <v>1</v>
      </c>
      <c r="K89" s="19" t="n">
        <v>0</v>
      </c>
    </row>
    <row r="90" customFormat="false" ht="15" hidden="false" customHeight="false" outlineLevel="0" collapsed="false">
      <c r="A90" s="17" t="s">
        <v>76</v>
      </c>
      <c r="B90" s="18" t="n">
        <v>42036</v>
      </c>
      <c r="C90" s="19" t="n">
        <v>268.853</v>
      </c>
      <c r="D90" s="17"/>
      <c r="E90" s="19" t="n">
        <v>292.056</v>
      </c>
      <c r="F90" s="19" t="n">
        <v>32.52</v>
      </c>
      <c r="G90" s="19" t="n">
        <v>2.773</v>
      </c>
      <c r="H90" s="19" t="n">
        <v>0</v>
      </c>
      <c r="I90" s="6" t="n">
        <f aca="false">YEAR(B90)</f>
        <v>2015</v>
      </c>
      <c r="J90" s="6" t="n">
        <f aca="false">MONTH(B90)</f>
        <v>2</v>
      </c>
      <c r="K90" s="19" t="n">
        <v>0</v>
      </c>
    </row>
    <row r="91" customFormat="false" ht="15" hidden="false" customHeight="false" outlineLevel="0" collapsed="false">
      <c r="A91" s="17" t="s">
        <v>76</v>
      </c>
      <c r="B91" s="18" t="n">
        <v>42064</v>
      </c>
      <c r="C91" s="19" t="n">
        <v>350.143</v>
      </c>
      <c r="D91" s="17"/>
      <c r="E91" s="19" t="n">
        <v>349.73</v>
      </c>
      <c r="F91" s="19" t="n">
        <v>0.544</v>
      </c>
      <c r="G91" s="19" t="n">
        <v>2.66</v>
      </c>
      <c r="H91" s="19" t="n">
        <v>0</v>
      </c>
      <c r="I91" s="6" t="n">
        <f aca="false">YEAR(B91)</f>
        <v>2015</v>
      </c>
      <c r="J91" s="6" t="n">
        <f aca="false">MONTH(B91)</f>
        <v>3</v>
      </c>
      <c r="K91" s="19" t="n">
        <v>0</v>
      </c>
    </row>
    <row r="92" customFormat="false" ht="15" hidden="false" customHeight="false" outlineLevel="0" collapsed="false">
      <c r="A92" s="17" t="s">
        <v>76</v>
      </c>
      <c r="B92" s="18" t="n">
        <v>42095</v>
      </c>
      <c r="C92" s="19" t="n">
        <v>252.369</v>
      </c>
      <c r="D92" s="17"/>
      <c r="E92" s="19" t="n">
        <v>254.89</v>
      </c>
      <c r="F92" s="19" t="n">
        <v>3.952</v>
      </c>
      <c r="G92" s="19" t="n">
        <v>3.094</v>
      </c>
      <c r="H92" s="19" t="n">
        <v>0</v>
      </c>
      <c r="I92" s="6" t="n">
        <f aca="false">YEAR(B92)</f>
        <v>2015</v>
      </c>
      <c r="J92" s="6" t="n">
        <f aca="false">MONTH(B92)</f>
        <v>4</v>
      </c>
      <c r="K92" s="19" t="n">
        <v>0</v>
      </c>
    </row>
    <row r="93" customFormat="false" ht="15" hidden="false" customHeight="false" outlineLevel="0" collapsed="false">
      <c r="A93" s="17" t="s">
        <v>76</v>
      </c>
      <c r="B93" s="18" t="n">
        <v>42125</v>
      </c>
      <c r="C93" s="19" t="n">
        <v>250.712</v>
      </c>
      <c r="D93" s="17"/>
      <c r="E93" s="19" t="n">
        <v>256.686</v>
      </c>
      <c r="F93" s="19" t="n">
        <v>2.297</v>
      </c>
      <c r="G93" s="19" t="n">
        <v>3.457</v>
      </c>
      <c r="H93" s="19" t="n">
        <v>0</v>
      </c>
      <c r="I93" s="6" t="n">
        <f aca="false">YEAR(B93)</f>
        <v>2015</v>
      </c>
      <c r="J93" s="6" t="n">
        <f aca="false">MONTH(B93)</f>
        <v>5</v>
      </c>
      <c r="K93" s="19" t="n">
        <v>0</v>
      </c>
    </row>
    <row r="94" customFormat="false" ht="15" hidden="false" customHeight="false" outlineLevel="0" collapsed="false">
      <c r="A94" s="17" t="s">
        <v>76</v>
      </c>
      <c r="B94" s="18" t="n">
        <v>42156</v>
      </c>
      <c r="C94" s="19" t="n">
        <v>187.535</v>
      </c>
      <c r="D94" s="17"/>
      <c r="E94" s="19" t="n">
        <v>197.614</v>
      </c>
      <c r="F94" s="19" t="n">
        <v>6.204</v>
      </c>
      <c r="G94" s="19" t="n">
        <v>2.961</v>
      </c>
      <c r="H94" s="19" t="n">
        <v>0</v>
      </c>
      <c r="I94" s="6" t="n">
        <f aca="false">YEAR(B94)</f>
        <v>2015</v>
      </c>
      <c r="J94" s="6" t="n">
        <f aca="false">MONTH(B94)</f>
        <v>6</v>
      </c>
      <c r="K94" s="19" t="n">
        <v>0</v>
      </c>
    </row>
    <row r="95" customFormat="false" ht="15" hidden="false" customHeight="false" outlineLevel="0" collapsed="false">
      <c r="A95" s="17" t="s">
        <v>76</v>
      </c>
      <c r="B95" s="18" t="n">
        <v>42186</v>
      </c>
      <c r="C95" s="19" t="n">
        <v>244.315</v>
      </c>
      <c r="D95" s="17"/>
      <c r="E95" s="19" t="n">
        <v>262.625</v>
      </c>
      <c r="F95" s="19" t="n">
        <v>1.031</v>
      </c>
      <c r="G95" s="19" t="n">
        <v>6.942</v>
      </c>
      <c r="H95" s="19" t="n">
        <v>0</v>
      </c>
      <c r="I95" s="6" t="n">
        <f aca="false">YEAR(B95)</f>
        <v>2015</v>
      </c>
      <c r="J95" s="6" t="n">
        <f aca="false">MONTH(B95)</f>
        <v>7</v>
      </c>
      <c r="K95" s="19" t="n">
        <v>0.225</v>
      </c>
    </row>
    <row r="96" customFormat="false" ht="15" hidden="false" customHeight="false" outlineLevel="0" collapsed="false">
      <c r="A96" s="17" t="s">
        <v>76</v>
      </c>
      <c r="B96" s="18" t="n">
        <v>42217</v>
      </c>
      <c r="C96" s="19" t="n">
        <v>180.64</v>
      </c>
      <c r="D96" s="17"/>
      <c r="E96" s="19" t="n">
        <v>195.557</v>
      </c>
      <c r="F96" s="19" t="n">
        <v>5.177</v>
      </c>
      <c r="G96" s="19" t="n">
        <v>4.02</v>
      </c>
      <c r="H96" s="19" t="n">
        <v>0</v>
      </c>
      <c r="I96" s="6" t="n">
        <f aca="false">YEAR(B96)</f>
        <v>2015</v>
      </c>
      <c r="J96" s="6" t="n">
        <f aca="false">MONTH(B96)</f>
        <v>8</v>
      </c>
      <c r="K96" s="19" t="n">
        <v>0</v>
      </c>
    </row>
    <row r="97" customFormat="false" ht="15" hidden="false" customHeight="false" outlineLevel="0" collapsed="false">
      <c r="A97" s="17" t="s">
        <v>76</v>
      </c>
      <c r="B97" s="18" t="n">
        <v>42248</v>
      </c>
      <c r="C97" s="19" t="n">
        <v>337.757</v>
      </c>
      <c r="D97" s="17"/>
      <c r="E97" s="19" t="n">
        <v>343.168</v>
      </c>
      <c r="F97" s="19" t="n">
        <v>3.781</v>
      </c>
      <c r="G97" s="19" t="n">
        <v>3.534</v>
      </c>
      <c r="H97" s="19" t="n">
        <v>0</v>
      </c>
      <c r="I97" s="6" t="n">
        <f aca="false">YEAR(B97)</f>
        <v>2015</v>
      </c>
      <c r="J97" s="6" t="n">
        <f aca="false">MONTH(B97)</f>
        <v>9</v>
      </c>
      <c r="K97" s="19" t="n">
        <v>0.218</v>
      </c>
    </row>
    <row r="98" customFormat="false" ht="15" hidden="false" customHeight="false" outlineLevel="0" collapsed="false">
      <c r="A98" s="17" t="s">
        <v>76</v>
      </c>
      <c r="B98" s="18" t="n">
        <v>42278</v>
      </c>
      <c r="C98" s="19" t="n">
        <v>156.491</v>
      </c>
      <c r="D98" s="17"/>
      <c r="E98" s="19" t="n">
        <v>154.551</v>
      </c>
      <c r="F98" s="19" t="n">
        <v>0.07</v>
      </c>
      <c r="G98" s="19" t="n">
        <v>1.949</v>
      </c>
      <c r="H98" s="19" t="n">
        <v>0</v>
      </c>
      <c r="I98" s="6" t="n">
        <f aca="false">YEAR(B98)</f>
        <v>2015</v>
      </c>
      <c r="J98" s="6" t="n">
        <f aca="false">MONTH(B98)</f>
        <v>10</v>
      </c>
      <c r="K98" s="19" t="n">
        <v>0</v>
      </c>
    </row>
    <row r="99" customFormat="false" ht="15" hidden="false" customHeight="false" outlineLevel="0" collapsed="false">
      <c r="A99" s="17" t="s">
        <v>76</v>
      </c>
      <c r="B99" s="18" t="n">
        <v>42309</v>
      </c>
      <c r="C99" s="19" t="n">
        <v>429.873</v>
      </c>
      <c r="D99" s="17"/>
      <c r="E99" s="19" t="n">
        <v>435.623</v>
      </c>
      <c r="F99" s="19" t="n">
        <v>1.908</v>
      </c>
      <c r="G99" s="19" t="n">
        <v>2.66</v>
      </c>
      <c r="H99" s="19" t="n">
        <v>0</v>
      </c>
      <c r="I99" s="6" t="n">
        <f aca="false">YEAR(B99)</f>
        <v>2015</v>
      </c>
      <c r="J99" s="6" t="n">
        <f aca="false">MONTH(B99)</f>
        <v>11</v>
      </c>
      <c r="K99" s="19" t="n">
        <v>0.055</v>
      </c>
    </row>
    <row r="100" customFormat="false" ht="15" hidden="false" customHeight="false" outlineLevel="0" collapsed="false">
      <c r="A100" s="17" t="s">
        <v>76</v>
      </c>
      <c r="B100" s="18" t="n">
        <v>42339</v>
      </c>
      <c r="C100" s="19" t="n">
        <v>347.505</v>
      </c>
      <c r="D100" s="17"/>
      <c r="E100" s="19" t="n">
        <v>340.837</v>
      </c>
      <c r="F100" s="19" t="n">
        <v>0.033</v>
      </c>
      <c r="G100" s="19" t="n">
        <v>3.116</v>
      </c>
      <c r="H100" s="19" t="n">
        <v>0</v>
      </c>
      <c r="I100" s="6" t="n">
        <f aca="false">YEAR(B100)</f>
        <v>2015</v>
      </c>
      <c r="J100" s="6" t="n">
        <f aca="false">MONTH(B100)</f>
        <v>12</v>
      </c>
      <c r="K100" s="1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6" min="14" style="0" width="14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30" hidden="false" customHeight="true" outlineLevel="0" collapsed="false">
      <c r="A4" s="5" t="s">
        <v>71</v>
      </c>
      <c r="B4" s="5" t="s">
        <v>43</v>
      </c>
      <c r="C4" s="5" t="s">
        <v>79</v>
      </c>
      <c r="D4" s="5" t="s">
        <v>67</v>
      </c>
      <c r="E4" s="5" t="s">
        <v>80</v>
      </c>
      <c r="F4" s="5" t="s">
        <v>81</v>
      </c>
      <c r="G4" s="5" t="s">
        <v>82</v>
      </c>
      <c r="H4" s="5" t="s">
        <v>83</v>
      </c>
      <c r="I4" s="5" t="s">
        <v>84</v>
      </c>
      <c r="J4" s="5" t="s">
        <v>65</v>
      </c>
      <c r="K4" s="5" t="s">
        <v>85</v>
      </c>
      <c r="L4" s="5" t="s">
        <v>86</v>
      </c>
      <c r="M4" s="5" t="s">
        <v>87</v>
      </c>
      <c r="N4" s="5" t="s">
        <v>88</v>
      </c>
      <c r="O4" s="5" t="s">
        <v>89</v>
      </c>
      <c r="P4" s="5" t="s">
        <v>90</v>
      </c>
    </row>
    <row r="5" customFormat="false" ht="15" hidden="false" customHeight="false" outlineLevel="0" collapsed="false">
      <c r="A5" s="17" t="n">
        <v>1</v>
      </c>
      <c r="B5" s="6" t="s">
        <v>49</v>
      </c>
      <c r="C5" s="9" t="n">
        <f aca="false">Inputs!$B$11*Wind_Index!E5</f>
        <v>1821.45284772222</v>
      </c>
      <c r="D5" s="9" t="n">
        <f aca="false">SUMIFS(Data_Monthly!$E$5:$E$100,Data_Monthly!$I$5:$I$100,2015,Data_Monthly!$J$5:$J$100,$A5)</f>
        <v>1708.657</v>
      </c>
      <c r="E5" s="9" t="n">
        <f aca="false">D5-C5</f>
        <v>-112.795847722218</v>
      </c>
      <c r="F5" s="9" t="n">
        <f aca="false">-SUMIFS(Data_Monthly!$F$5:$F$100,Data_Monthly!$I$5:$I$100,2015,Data_Monthly!$J$5:$J$100,$A5)</f>
        <v>-12.602</v>
      </c>
      <c r="G5" s="9" t="n">
        <f aca="false">-SUMIFS(Data_Monthly!$G$5:$G$100,Data_Monthly!$I$5:$I$100,2015,Data_Monthly!$J$5:$J$100,$A5)</f>
        <v>-7.922</v>
      </c>
      <c r="H5" s="9" t="n">
        <f aca="false">-SUMIFS(Data_Monthly!$H$5:$H$100,Data_Monthly!$I$5:$I$100,2015,Data_Monthly!$J$5:$J$100,$A5)</f>
        <v>-2.806</v>
      </c>
      <c r="I5" s="9" t="n">
        <f aca="false">-SUMIFS(Data_Monthly!$K$5:$K$100,Data_Monthly!$I$5:$I$100,2015,Data_Monthly!$J$5:$J$100,$A5)</f>
        <v>-0</v>
      </c>
      <c r="J5" s="9" t="n">
        <f aca="false">SUMIFS(Data_Monthly!$C$5:$C$100,Data_Monthly!$I$5:$I$100,2015,Data_Monthly!$J$5:$J$100,$A5)</f>
        <v>1697.069</v>
      </c>
      <c r="K5" s="9" t="n">
        <f aca="false">J5-D5-SUM(F5:I5)</f>
        <v>11.7419999999998</v>
      </c>
      <c r="L5" s="9" t="n">
        <f aca="false">J5-C5</f>
        <v>-124.383847722218</v>
      </c>
      <c r="M5" s="9" t="n">
        <f aca="false">ROUND(E5+SUM(F5:I5)+K5-L5,6)</f>
        <v>0</v>
      </c>
      <c r="N5" s="11" t="n">
        <f aca="false">C5*Inputs!$B$5</f>
        <v>149359.133513222</v>
      </c>
      <c r="O5" s="11" t="n">
        <f aca="false">J5*Inputs!$B$5</f>
        <v>139159.658</v>
      </c>
      <c r="P5" s="11" t="n">
        <f aca="false">O5-N5</f>
        <v>-10199.4755132219</v>
      </c>
    </row>
    <row r="6" customFormat="false" ht="15" hidden="false" customHeight="false" outlineLevel="0" collapsed="false">
      <c r="A6" s="17" t="n">
        <v>2</v>
      </c>
      <c r="B6" s="6" t="s">
        <v>50</v>
      </c>
      <c r="C6" s="9" t="n">
        <f aca="false">Inputs!$B$11*Wind_Index!E6</f>
        <v>1672.21517360662</v>
      </c>
      <c r="D6" s="9" t="n">
        <f aca="false">SUMIFS(Data_Monthly!$E$5:$E$100,Data_Monthly!$I$5:$I$100,2015,Data_Monthly!$J$5:$J$100,$A6)</f>
        <v>1153.22</v>
      </c>
      <c r="E6" s="9" t="n">
        <f aca="false">D6-C6</f>
        <v>-518.995173606616</v>
      </c>
      <c r="F6" s="9" t="n">
        <f aca="false">-SUMIFS(Data_Monthly!$F$5:$F$100,Data_Monthly!$I$5:$I$100,2015,Data_Monthly!$J$5:$J$100,$A6)</f>
        <v>-35.056</v>
      </c>
      <c r="G6" s="9" t="n">
        <f aca="false">-SUMIFS(Data_Monthly!$G$5:$G$100,Data_Monthly!$I$5:$I$100,2015,Data_Monthly!$J$5:$J$100,$A6)</f>
        <v>-5.385</v>
      </c>
      <c r="H6" s="9" t="n">
        <f aca="false">-SUMIFS(Data_Monthly!$H$5:$H$100,Data_Monthly!$I$5:$I$100,2015,Data_Monthly!$J$5:$J$100,$A6)</f>
        <v>-0.385</v>
      </c>
      <c r="I6" s="9" t="n">
        <f aca="false">-SUMIFS(Data_Monthly!$K$5:$K$100,Data_Monthly!$I$5:$I$100,2015,Data_Monthly!$J$5:$J$100,$A6)</f>
        <v>-0</v>
      </c>
      <c r="J6" s="9" t="n">
        <f aca="false">SUMIFS(Data_Monthly!$C$5:$C$100,Data_Monthly!$I$5:$I$100,2015,Data_Monthly!$J$5:$J$100,$A6)</f>
        <v>1178.683</v>
      </c>
      <c r="K6" s="9" t="n">
        <f aca="false">J6-D6-SUM(F6:I6)</f>
        <v>66.289</v>
      </c>
      <c r="L6" s="9" t="n">
        <f aca="false">J6-C6</f>
        <v>-493.532173606616</v>
      </c>
      <c r="M6" s="9" t="n">
        <f aca="false">ROUND(E6+SUM(F6:I6)+K6-L6,6)</f>
        <v>0</v>
      </c>
      <c r="N6" s="11" t="n">
        <f aca="false">C6*Inputs!$B$5</f>
        <v>137121.644235743</v>
      </c>
      <c r="O6" s="11" t="n">
        <f aca="false">J6*Inputs!$B$5</f>
        <v>96652.006</v>
      </c>
      <c r="P6" s="11" t="n">
        <f aca="false">O6-N6</f>
        <v>-40469.6382357426</v>
      </c>
    </row>
    <row r="7" customFormat="false" ht="15" hidden="false" customHeight="false" outlineLevel="0" collapsed="false">
      <c r="A7" s="17" t="n">
        <v>3</v>
      </c>
      <c r="B7" s="6" t="s">
        <v>51</v>
      </c>
      <c r="C7" s="9" t="n">
        <f aca="false">Inputs!$B$11*Wind_Index!E7</f>
        <v>1375.74505127952</v>
      </c>
      <c r="D7" s="9" t="n">
        <f aca="false">SUMIFS(Data_Monthly!$E$5:$E$100,Data_Monthly!$I$5:$I$100,2015,Data_Monthly!$J$5:$J$100,$A7)</f>
        <v>1276.401</v>
      </c>
      <c r="E7" s="9" t="n">
        <f aca="false">D7-C7</f>
        <v>-99.3440512795241</v>
      </c>
      <c r="F7" s="9" t="n">
        <f aca="false">-SUMIFS(Data_Monthly!$F$5:$F$100,Data_Monthly!$I$5:$I$100,2015,Data_Monthly!$J$5:$J$100,$A7)</f>
        <v>-0.808</v>
      </c>
      <c r="G7" s="9" t="n">
        <f aca="false">-SUMIFS(Data_Monthly!$G$5:$G$100,Data_Monthly!$I$5:$I$100,2015,Data_Monthly!$J$5:$J$100,$A7)</f>
        <v>-5.194</v>
      </c>
      <c r="H7" s="9" t="n">
        <f aca="false">-SUMIFS(Data_Monthly!$H$5:$H$100,Data_Monthly!$I$5:$I$100,2015,Data_Monthly!$J$5:$J$100,$A7)</f>
        <v>-0.031</v>
      </c>
      <c r="I7" s="9" t="n">
        <f aca="false">-SUMIFS(Data_Monthly!$K$5:$K$100,Data_Monthly!$I$5:$I$100,2015,Data_Monthly!$J$5:$J$100,$A7)</f>
        <v>-0</v>
      </c>
      <c r="J7" s="9" t="n">
        <f aca="false">SUMIFS(Data_Monthly!$C$5:$C$100,Data_Monthly!$I$5:$I$100,2015,Data_Monthly!$J$5:$J$100,$A7)</f>
        <v>1289.368</v>
      </c>
      <c r="K7" s="9" t="n">
        <f aca="false">J7-D7-SUM(F7:I7)</f>
        <v>18.9999999999999</v>
      </c>
      <c r="L7" s="9" t="n">
        <f aca="false">J7-C7</f>
        <v>-86.3770512795243</v>
      </c>
      <c r="M7" s="9" t="n">
        <f aca="false">ROUND(E7+SUM(F7:I7)+K7-L7,6)</f>
        <v>0</v>
      </c>
      <c r="N7" s="11" t="n">
        <f aca="false">C7*Inputs!$B$5</f>
        <v>112811.094204921</v>
      </c>
      <c r="O7" s="11" t="n">
        <f aca="false">J7*Inputs!$B$5</f>
        <v>105728.176</v>
      </c>
      <c r="P7" s="11" t="n">
        <f aca="false">O7-N7</f>
        <v>-7082.91820492099</v>
      </c>
    </row>
    <row r="8" customFormat="false" ht="15" hidden="false" customHeight="false" outlineLevel="0" collapsed="false">
      <c r="A8" s="17" t="n">
        <v>4</v>
      </c>
      <c r="B8" s="6" t="s">
        <v>52</v>
      </c>
      <c r="C8" s="9" t="n">
        <f aca="false">Inputs!$B$11*Wind_Index!E8</f>
        <v>915.048612469549</v>
      </c>
      <c r="D8" s="9" t="n">
        <f aca="false">SUMIFS(Data_Monthly!$E$5:$E$100,Data_Monthly!$I$5:$I$100,2015,Data_Monthly!$J$5:$J$100,$A8)</f>
        <v>964.139</v>
      </c>
      <c r="E8" s="9" t="n">
        <f aca="false">D8-C8</f>
        <v>49.0903875304507</v>
      </c>
      <c r="F8" s="9" t="n">
        <f aca="false">-SUMIFS(Data_Monthly!$F$5:$F$100,Data_Monthly!$I$5:$I$100,2015,Data_Monthly!$J$5:$J$100,$A8)</f>
        <v>-20.621</v>
      </c>
      <c r="G8" s="9" t="n">
        <f aca="false">-SUMIFS(Data_Monthly!$G$5:$G$100,Data_Monthly!$I$5:$I$100,2015,Data_Monthly!$J$5:$J$100,$A8)</f>
        <v>-7.5</v>
      </c>
      <c r="H8" s="9" t="n">
        <f aca="false">-SUMIFS(Data_Monthly!$H$5:$H$100,Data_Monthly!$I$5:$I$100,2015,Data_Monthly!$J$5:$J$100,$A8)</f>
        <v>-0</v>
      </c>
      <c r="I8" s="9" t="n">
        <f aca="false">-SUMIFS(Data_Monthly!$K$5:$K$100,Data_Monthly!$I$5:$I$100,2015,Data_Monthly!$J$5:$J$100,$A8)</f>
        <v>-0</v>
      </c>
      <c r="J8" s="9" t="n">
        <f aca="false">SUMIFS(Data_Monthly!$C$5:$C$100,Data_Monthly!$I$5:$I$100,2015,Data_Monthly!$J$5:$J$100,$A8)</f>
        <v>959.749</v>
      </c>
      <c r="K8" s="9" t="n">
        <f aca="false">J8-D8-SUM(F8:I8)</f>
        <v>23.731</v>
      </c>
      <c r="L8" s="9" t="n">
        <f aca="false">J8-C8</f>
        <v>44.7003875304507</v>
      </c>
      <c r="M8" s="9" t="n">
        <f aca="false">ROUND(E8+SUM(F8:I8)+K8-L8,6)</f>
        <v>0</v>
      </c>
      <c r="N8" s="11" t="n">
        <f aca="false">C8*Inputs!$B$5</f>
        <v>75033.986222503</v>
      </c>
      <c r="O8" s="11" t="n">
        <f aca="false">J8*Inputs!$B$5</f>
        <v>78699.418</v>
      </c>
      <c r="P8" s="11" t="n">
        <f aca="false">O8-N8</f>
        <v>3665.43177749697</v>
      </c>
    </row>
    <row r="9" customFormat="false" ht="15" hidden="false" customHeight="false" outlineLevel="0" collapsed="false">
      <c r="A9" s="17" t="n">
        <v>5</v>
      </c>
      <c r="B9" s="6" t="s">
        <v>53</v>
      </c>
      <c r="C9" s="9" t="n">
        <f aca="false">Inputs!$B$11*Wind_Index!E9</f>
        <v>672.77856678592</v>
      </c>
      <c r="D9" s="9" t="n">
        <f aca="false">SUMIFS(Data_Monthly!$E$5:$E$100,Data_Monthly!$I$5:$I$100,2015,Data_Monthly!$J$5:$J$100,$A9)</f>
        <v>977.815</v>
      </c>
      <c r="E9" s="9" t="n">
        <f aca="false">D9-C9</f>
        <v>305.03643321408</v>
      </c>
      <c r="F9" s="9" t="n">
        <f aca="false">-SUMIFS(Data_Monthly!$F$5:$F$100,Data_Monthly!$I$5:$I$100,2015,Data_Monthly!$J$5:$J$100,$A9)</f>
        <v>-27.95</v>
      </c>
      <c r="G9" s="9" t="n">
        <f aca="false">-SUMIFS(Data_Monthly!$G$5:$G$100,Data_Monthly!$I$5:$I$100,2015,Data_Monthly!$J$5:$J$100,$A9)</f>
        <v>-7.078</v>
      </c>
      <c r="H9" s="9" t="n">
        <f aca="false">-SUMIFS(Data_Monthly!$H$5:$H$100,Data_Monthly!$I$5:$I$100,2015,Data_Monthly!$J$5:$J$100,$A9)</f>
        <v>-0</v>
      </c>
      <c r="I9" s="9" t="n">
        <f aca="false">-SUMIFS(Data_Monthly!$K$5:$K$100,Data_Monthly!$I$5:$I$100,2015,Data_Monthly!$J$5:$J$100,$A9)</f>
        <v>-0</v>
      </c>
      <c r="J9" s="9" t="n">
        <f aca="false">SUMIFS(Data_Monthly!$C$5:$C$100,Data_Monthly!$I$5:$I$100,2015,Data_Monthly!$J$5:$J$100,$A9)</f>
        <v>947.7</v>
      </c>
      <c r="K9" s="9" t="n">
        <f aca="false">J9-D9-SUM(F9:I9)</f>
        <v>4.91300000000011</v>
      </c>
      <c r="L9" s="9" t="n">
        <f aca="false">J9-C9</f>
        <v>274.92143321408</v>
      </c>
      <c r="M9" s="9" t="n">
        <f aca="false">ROUND(E9+SUM(F9:I9)+K9-L9,6)</f>
        <v>0</v>
      </c>
      <c r="N9" s="11" t="n">
        <f aca="false">C9*Inputs!$B$5</f>
        <v>55167.8424764455</v>
      </c>
      <c r="O9" s="11" t="n">
        <f aca="false">J9*Inputs!$B$5</f>
        <v>77711.4</v>
      </c>
      <c r="P9" s="11" t="n">
        <f aca="false">O9-N9</f>
        <v>22543.5575235545</v>
      </c>
    </row>
    <row r="10" customFormat="false" ht="15" hidden="false" customHeight="false" outlineLevel="0" collapsed="false">
      <c r="A10" s="17" t="n">
        <v>6</v>
      </c>
      <c r="B10" s="6" t="s">
        <v>54</v>
      </c>
      <c r="C10" s="9" t="n">
        <f aca="false">Inputs!$B$11*Wind_Index!E10</f>
        <v>466.552035462735</v>
      </c>
      <c r="D10" s="9" t="n">
        <f aca="false">SUMIFS(Data_Monthly!$E$5:$E$100,Data_Monthly!$I$5:$I$100,2015,Data_Monthly!$J$5:$J$100,$A10)</f>
        <v>749.331</v>
      </c>
      <c r="E10" s="9" t="n">
        <f aca="false">D10-C10</f>
        <v>282.778964537265</v>
      </c>
      <c r="F10" s="9" t="n">
        <f aca="false">-SUMIFS(Data_Monthly!$F$5:$F$100,Data_Monthly!$I$5:$I$100,2015,Data_Monthly!$J$5:$J$100,$A10)</f>
        <v>-6.471</v>
      </c>
      <c r="G10" s="9" t="n">
        <f aca="false">-SUMIFS(Data_Monthly!$G$5:$G$100,Data_Monthly!$I$5:$I$100,2015,Data_Monthly!$J$5:$J$100,$A10)</f>
        <v>-8.645</v>
      </c>
      <c r="H10" s="9" t="n">
        <f aca="false">-SUMIFS(Data_Monthly!$H$5:$H$100,Data_Monthly!$I$5:$I$100,2015,Data_Monthly!$J$5:$J$100,$A10)</f>
        <v>-0</v>
      </c>
      <c r="I10" s="9" t="n">
        <f aca="false">-SUMIFS(Data_Monthly!$K$5:$K$100,Data_Monthly!$I$5:$I$100,2015,Data_Monthly!$J$5:$J$100,$A10)</f>
        <v>-0</v>
      </c>
      <c r="J10" s="9" t="n">
        <f aca="false">SUMIFS(Data_Monthly!$C$5:$C$100,Data_Monthly!$I$5:$I$100,2015,Data_Monthly!$J$5:$J$100,$A10)</f>
        <v>730.56</v>
      </c>
      <c r="K10" s="9" t="n">
        <f aca="false">J10-D10-SUM(F10:I10)</f>
        <v>-3.65500000000007</v>
      </c>
      <c r="L10" s="9" t="n">
        <f aca="false">J10-C10</f>
        <v>264.007964537265</v>
      </c>
      <c r="M10" s="9" t="n">
        <f aca="false">ROUND(E10+SUM(F10:I10)+K10-L10,6)</f>
        <v>0</v>
      </c>
      <c r="N10" s="11" t="n">
        <f aca="false">C10*Inputs!$B$5</f>
        <v>38257.2669079443</v>
      </c>
      <c r="O10" s="11" t="n">
        <f aca="false">J10*Inputs!$B$5</f>
        <v>59905.92</v>
      </c>
      <c r="P10" s="11" t="n">
        <f aca="false">O10-N10</f>
        <v>21648.6530920557</v>
      </c>
    </row>
    <row r="11" customFormat="false" ht="15" hidden="false" customHeight="false" outlineLevel="0" collapsed="false">
      <c r="A11" s="17" t="n">
        <v>7</v>
      </c>
      <c r="B11" s="6" t="s">
        <v>55</v>
      </c>
      <c r="C11" s="9" t="n">
        <f aca="false">Inputs!$B$11*Wind_Index!E11</f>
        <v>546.280828448449</v>
      </c>
      <c r="D11" s="9" t="n">
        <f aca="false">SUMIFS(Data_Monthly!$E$5:$E$100,Data_Monthly!$I$5:$I$100,2015,Data_Monthly!$J$5:$J$100,$A11)</f>
        <v>1017.266</v>
      </c>
      <c r="E11" s="9" t="n">
        <f aca="false">D11-C11</f>
        <v>470.985171551552</v>
      </c>
      <c r="F11" s="9" t="n">
        <f aca="false">-SUMIFS(Data_Monthly!$F$5:$F$100,Data_Monthly!$I$5:$I$100,2015,Data_Monthly!$J$5:$J$100,$A11)</f>
        <v>-43.725</v>
      </c>
      <c r="G11" s="9" t="n">
        <f aca="false">-SUMIFS(Data_Monthly!$G$5:$G$100,Data_Monthly!$I$5:$I$100,2015,Data_Monthly!$J$5:$J$100,$A11)</f>
        <v>-19.17</v>
      </c>
      <c r="H11" s="9" t="n">
        <f aca="false">-SUMIFS(Data_Monthly!$H$5:$H$100,Data_Monthly!$I$5:$I$100,2015,Data_Monthly!$J$5:$J$100,$A11)</f>
        <v>-0</v>
      </c>
      <c r="I11" s="9" t="n">
        <f aca="false">-SUMIFS(Data_Monthly!$K$5:$K$100,Data_Monthly!$I$5:$I$100,2015,Data_Monthly!$J$5:$J$100,$A11)</f>
        <v>-0.875</v>
      </c>
      <c r="J11" s="9" t="n">
        <f aca="false">SUMIFS(Data_Monthly!$C$5:$C$100,Data_Monthly!$I$5:$I$100,2015,Data_Monthly!$J$5:$J$100,$A11)</f>
        <v>914.547</v>
      </c>
      <c r="K11" s="9" t="n">
        <f aca="false">J11-D11-SUM(F11:I11)</f>
        <v>-38.9490000000001</v>
      </c>
      <c r="L11" s="9" t="n">
        <f aca="false">J11-C11</f>
        <v>368.266171551552</v>
      </c>
      <c r="M11" s="9" t="n">
        <f aca="false">ROUND(E11+SUM(F11:I11)+K11-L11,6)</f>
        <v>0</v>
      </c>
      <c r="N11" s="11" t="n">
        <f aca="false">C11*Inputs!$B$5</f>
        <v>44795.0279327728</v>
      </c>
      <c r="O11" s="11" t="n">
        <f aca="false">J11*Inputs!$B$5</f>
        <v>74992.854</v>
      </c>
      <c r="P11" s="11" t="n">
        <f aca="false">O11-N11</f>
        <v>30197.8260672272</v>
      </c>
    </row>
    <row r="12" customFormat="false" ht="15" hidden="false" customHeight="false" outlineLevel="0" collapsed="false">
      <c r="A12" s="17" t="n">
        <v>8</v>
      </c>
      <c r="B12" s="6" t="s">
        <v>56</v>
      </c>
      <c r="C12" s="9" t="n">
        <f aca="false">Inputs!$B$11*Wind_Index!E12</f>
        <v>441.983805477917</v>
      </c>
      <c r="D12" s="9" t="n">
        <f aca="false">SUMIFS(Data_Monthly!$E$5:$E$100,Data_Monthly!$I$5:$I$100,2015,Data_Monthly!$J$5:$J$100,$A12)</f>
        <v>760.002</v>
      </c>
      <c r="E12" s="9" t="n">
        <f aca="false">D12-C12</f>
        <v>318.018194522083</v>
      </c>
      <c r="F12" s="9" t="n">
        <f aca="false">-SUMIFS(Data_Monthly!$F$5:$F$100,Data_Monthly!$I$5:$I$100,2015,Data_Monthly!$J$5:$J$100,$A12)</f>
        <v>-8.313</v>
      </c>
      <c r="G12" s="9" t="n">
        <f aca="false">-SUMIFS(Data_Monthly!$G$5:$G$100,Data_Monthly!$I$5:$I$100,2015,Data_Monthly!$J$5:$J$100,$A12)</f>
        <v>-11.908</v>
      </c>
      <c r="H12" s="9" t="n">
        <f aca="false">-SUMIFS(Data_Monthly!$H$5:$H$100,Data_Monthly!$I$5:$I$100,2015,Data_Monthly!$J$5:$J$100,$A12)</f>
        <v>-0</v>
      </c>
      <c r="I12" s="9" t="n">
        <f aca="false">-SUMIFS(Data_Monthly!$K$5:$K$100,Data_Monthly!$I$5:$I$100,2015,Data_Monthly!$J$5:$J$100,$A12)</f>
        <v>-0</v>
      </c>
      <c r="J12" s="9" t="n">
        <f aca="false">SUMIFS(Data_Monthly!$C$5:$C$100,Data_Monthly!$I$5:$I$100,2015,Data_Monthly!$J$5:$J$100,$A12)</f>
        <v>719.857</v>
      </c>
      <c r="K12" s="9" t="n">
        <f aca="false">J12-D12-SUM(F12:I12)</f>
        <v>-19.924</v>
      </c>
      <c r="L12" s="9" t="n">
        <f aca="false">J12-C12</f>
        <v>277.873194522083</v>
      </c>
      <c r="M12" s="9" t="n">
        <f aca="false">ROUND(E12+SUM(F12:I12)+K12-L12,6)</f>
        <v>0</v>
      </c>
      <c r="N12" s="11" t="n">
        <f aca="false">C12*Inputs!$B$5</f>
        <v>36242.6720491892</v>
      </c>
      <c r="O12" s="11" t="n">
        <f aca="false">J12*Inputs!$B$5</f>
        <v>59028.274</v>
      </c>
      <c r="P12" s="11" t="n">
        <f aca="false">O12-N12</f>
        <v>22785.6019508108</v>
      </c>
    </row>
    <row r="13" customFormat="false" ht="15" hidden="false" customHeight="false" outlineLevel="0" collapsed="false">
      <c r="A13" s="17" t="n">
        <v>9</v>
      </c>
      <c r="B13" s="6" t="s">
        <v>57</v>
      </c>
      <c r="C13" s="9" t="n">
        <f aca="false">Inputs!$B$11*Wind_Index!E13</f>
        <v>656.146987228296</v>
      </c>
      <c r="D13" s="9" t="n">
        <f aca="false">SUMIFS(Data_Monthly!$E$5:$E$100,Data_Monthly!$I$5:$I$100,2015,Data_Monthly!$J$5:$J$100,$A13)</f>
        <v>1326.324</v>
      </c>
      <c r="E13" s="9" t="n">
        <f aca="false">D13-C13</f>
        <v>670.177012771704</v>
      </c>
      <c r="F13" s="9" t="n">
        <f aca="false">-SUMIFS(Data_Monthly!$F$5:$F$100,Data_Monthly!$I$5:$I$100,2015,Data_Monthly!$J$5:$J$100,$A13)</f>
        <v>-4.259</v>
      </c>
      <c r="G13" s="9" t="n">
        <f aca="false">-SUMIFS(Data_Monthly!$G$5:$G$100,Data_Monthly!$I$5:$I$100,2015,Data_Monthly!$J$5:$J$100,$A13)</f>
        <v>-6.589</v>
      </c>
      <c r="H13" s="9" t="n">
        <f aca="false">-SUMIFS(Data_Monthly!$H$5:$H$100,Data_Monthly!$I$5:$I$100,2015,Data_Monthly!$J$5:$J$100,$A13)</f>
        <v>-0</v>
      </c>
      <c r="I13" s="9" t="n">
        <f aca="false">-SUMIFS(Data_Monthly!$K$5:$K$100,Data_Monthly!$I$5:$I$100,2015,Data_Monthly!$J$5:$J$100,$A13)</f>
        <v>-0.838</v>
      </c>
      <c r="J13" s="9" t="n">
        <f aca="false">SUMIFS(Data_Monthly!$C$5:$C$100,Data_Monthly!$I$5:$I$100,2015,Data_Monthly!$J$5:$J$100,$A13)</f>
        <v>1341.162</v>
      </c>
      <c r="K13" s="9" t="n">
        <f aca="false">J13-D13-SUM(F13:I13)</f>
        <v>26.524</v>
      </c>
      <c r="L13" s="9" t="n">
        <f aca="false">J13-C13</f>
        <v>685.015012771704</v>
      </c>
      <c r="M13" s="9" t="n">
        <f aca="false">ROUND(E13+SUM(F13:I13)+K13-L13,6)</f>
        <v>0</v>
      </c>
      <c r="N13" s="11" t="n">
        <f aca="false">C13*Inputs!$B$5</f>
        <v>53804.0529527203</v>
      </c>
      <c r="O13" s="11" t="n">
        <f aca="false">J13*Inputs!$B$5</f>
        <v>109975.284</v>
      </c>
      <c r="P13" s="11" t="n">
        <f aca="false">O13-N13</f>
        <v>56171.2310472797</v>
      </c>
    </row>
    <row r="14" customFormat="false" ht="15" hidden="false" customHeight="false" outlineLevel="0" collapsed="false">
      <c r="A14" s="17" t="n">
        <v>10</v>
      </c>
      <c r="B14" s="6" t="s">
        <v>58</v>
      </c>
      <c r="C14" s="9" t="n">
        <f aca="false">Inputs!$B$11*Wind_Index!E14</f>
        <v>1234.85686821843</v>
      </c>
      <c r="D14" s="9" t="n">
        <f aca="false">SUMIFS(Data_Monthly!$E$5:$E$100,Data_Monthly!$I$5:$I$100,2015,Data_Monthly!$J$5:$J$100,$A14)</f>
        <v>575.6</v>
      </c>
      <c r="E14" s="9" t="n">
        <f aca="false">D14-C14</f>
        <v>-659.256868218434</v>
      </c>
      <c r="F14" s="9" t="n">
        <f aca="false">-SUMIFS(Data_Monthly!$F$5:$F$100,Data_Monthly!$I$5:$I$100,2015,Data_Monthly!$J$5:$J$100,$A14)</f>
        <v>-0.487</v>
      </c>
      <c r="G14" s="9" t="n">
        <f aca="false">-SUMIFS(Data_Monthly!$G$5:$G$100,Data_Monthly!$I$5:$I$100,2015,Data_Monthly!$J$5:$J$100,$A14)</f>
        <v>-5.464</v>
      </c>
      <c r="H14" s="9" t="n">
        <f aca="false">-SUMIFS(Data_Monthly!$H$5:$H$100,Data_Monthly!$I$5:$I$100,2015,Data_Monthly!$J$5:$J$100,$A14)</f>
        <v>-0</v>
      </c>
      <c r="I14" s="9" t="n">
        <f aca="false">-SUMIFS(Data_Monthly!$K$5:$K$100,Data_Monthly!$I$5:$I$100,2015,Data_Monthly!$J$5:$J$100,$A14)</f>
        <v>-0</v>
      </c>
      <c r="J14" s="9" t="n">
        <f aca="false">SUMIFS(Data_Monthly!$C$5:$C$100,Data_Monthly!$I$5:$I$100,2015,Data_Monthly!$J$5:$J$100,$A14)</f>
        <v>590.739</v>
      </c>
      <c r="K14" s="9" t="n">
        <f aca="false">J14-D14-SUM(F14:I14)</f>
        <v>21.09</v>
      </c>
      <c r="L14" s="9" t="n">
        <f aca="false">J14-C14</f>
        <v>-644.117868218434</v>
      </c>
      <c r="M14" s="9" t="n">
        <f aca="false">ROUND(E14+SUM(F14:I14)+K14-L14,6)</f>
        <v>0</v>
      </c>
      <c r="N14" s="11" t="n">
        <f aca="false">C14*Inputs!$B$5</f>
        <v>101258.263193912</v>
      </c>
      <c r="O14" s="11" t="n">
        <f aca="false">J14*Inputs!$B$5</f>
        <v>48440.598</v>
      </c>
      <c r="P14" s="11" t="n">
        <f aca="false">O14-N14</f>
        <v>-52817.6651939116</v>
      </c>
    </row>
    <row r="15" customFormat="false" ht="15" hidden="false" customHeight="false" outlineLevel="0" collapsed="false">
      <c r="A15" s="17" t="n">
        <v>11</v>
      </c>
      <c r="B15" s="6" t="s">
        <v>59</v>
      </c>
      <c r="C15" s="9" t="n">
        <f aca="false">Inputs!$B$11*Wind_Index!E15</f>
        <v>1437.54476559319</v>
      </c>
      <c r="D15" s="9" t="n">
        <f aca="false">SUMIFS(Data_Monthly!$E$5:$E$100,Data_Monthly!$I$5:$I$100,2015,Data_Monthly!$J$5:$J$100,$A15)</f>
        <v>1667.979</v>
      </c>
      <c r="E15" s="9" t="n">
        <f aca="false">D15-C15</f>
        <v>230.434234406812</v>
      </c>
      <c r="F15" s="9" t="n">
        <f aca="false">-SUMIFS(Data_Monthly!$F$5:$F$100,Data_Monthly!$I$5:$I$100,2015,Data_Monthly!$J$5:$J$100,$A15)</f>
        <v>-10.33</v>
      </c>
      <c r="G15" s="9" t="n">
        <f aca="false">-SUMIFS(Data_Monthly!$G$5:$G$100,Data_Monthly!$I$5:$I$100,2015,Data_Monthly!$J$5:$J$100,$A15)</f>
        <v>-5.951</v>
      </c>
      <c r="H15" s="9" t="n">
        <f aca="false">-SUMIFS(Data_Monthly!$H$5:$H$100,Data_Monthly!$I$5:$I$100,2015,Data_Monthly!$J$5:$J$100,$A15)</f>
        <v>-0.075</v>
      </c>
      <c r="I15" s="9" t="n">
        <f aca="false">-SUMIFS(Data_Monthly!$K$5:$K$100,Data_Monthly!$I$5:$I$100,2015,Data_Monthly!$J$5:$J$100,$A15)</f>
        <v>-0.144</v>
      </c>
      <c r="J15" s="9" t="n">
        <f aca="false">SUMIFS(Data_Monthly!$C$5:$C$100,Data_Monthly!$I$5:$I$100,2015,Data_Monthly!$J$5:$J$100,$A15)</f>
        <v>1665.998</v>
      </c>
      <c r="K15" s="9" t="n">
        <f aca="false">J15-D15-SUM(F15:I15)</f>
        <v>14.519</v>
      </c>
      <c r="L15" s="9" t="n">
        <f aca="false">J15-C15</f>
        <v>228.453234406812</v>
      </c>
      <c r="M15" s="9" t="n">
        <f aca="false">ROUND(E15+SUM(F15:I15)+K15-L15,6)</f>
        <v>0</v>
      </c>
      <c r="N15" s="11" t="n">
        <f aca="false">C15*Inputs!$B$5</f>
        <v>117878.670778641</v>
      </c>
      <c r="O15" s="11" t="n">
        <f aca="false">J15*Inputs!$B$5</f>
        <v>136611.836</v>
      </c>
      <c r="P15" s="11" t="n">
        <f aca="false">O15-N15</f>
        <v>18733.1652213586</v>
      </c>
    </row>
    <row r="16" customFormat="false" ht="15" hidden="false" customHeight="false" outlineLevel="0" collapsed="false">
      <c r="A16" s="17" t="n">
        <v>12</v>
      </c>
      <c r="B16" s="6" t="s">
        <v>60</v>
      </c>
      <c r="C16" s="9" t="n">
        <f aca="false">Inputs!$B$11*Wind_Index!E16</f>
        <v>2095.91603701764</v>
      </c>
      <c r="D16" s="9" t="n">
        <f aca="false">SUMIFS(Data_Monthly!$E$5:$E$100,Data_Monthly!$I$5:$I$100,2015,Data_Monthly!$J$5:$J$100,$A16)</f>
        <v>1302.685</v>
      </c>
      <c r="E16" s="9" t="n">
        <f aca="false">D16-C16</f>
        <v>-793.231037017642</v>
      </c>
      <c r="F16" s="9" t="n">
        <f aca="false">-SUMIFS(Data_Monthly!$F$5:$F$100,Data_Monthly!$I$5:$I$100,2015,Data_Monthly!$J$5:$J$100,$A16)</f>
        <v>-0.489</v>
      </c>
      <c r="G16" s="9" t="n">
        <f aca="false">-SUMIFS(Data_Monthly!$G$5:$G$100,Data_Monthly!$I$5:$I$100,2015,Data_Monthly!$J$5:$J$100,$A16)</f>
        <v>-5.889</v>
      </c>
      <c r="H16" s="9" t="n">
        <f aca="false">-SUMIFS(Data_Monthly!$H$5:$H$100,Data_Monthly!$I$5:$I$100,2015,Data_Monthly!$J$5:$J$100,$A16)</f>
        <v>-0</v>
      </c>
      <c r="I16" s="9" t="n">
        <f aca="false">-SUMIFS(Data_Monthly!$K$5:$K$100,Data_Monthly!$I$5:$I$100,2015,Data_Monthly!$J$5:$J$100,$A16)</f>
        <v>-0</v>
      </c>
      <c r="J16" s="9" t="n">
        <f aca="false">SUMIFS(Data_Monthly!$C$5:$C$100,Data_Monthly!$I$5:$I$100,2015,Data_Monthly!$J$5:$J$100,$A16)</f>
        <v>1363.66</v>
      </c>
      <c r="K16" s="9" t="n">
        <f aca="false">J16-D16-SUM(F16:I16)</f>
        <v>67.3530000000001</v>
      </c>
      <c r="L16" s="9" t="n">
        <f aca="false">J16-C16</f>
        <v>-732.256037017641</v>
      </c>
      <c r="M16" s="9" t="n">
        <f aca="false">ROUND(E16+SUM(F16:I16)+K16-L16,6)</f>
        <v>0</v>
      </c>
      <c r="N16" s="11" t="n">
        <f aca="false">C16*Inputs!$B$5</f>
        <v>171865.115035447</v>
      </c>
      <c r="O16" s="11" t="n">
        <f aca="false">J16*Inputs!$B$5</f>
        <v>111820.12</v>
      </c>
      <c r="P16" s="11" t="n">
        <f aca="false">O16-N16</f>
        <v>-60044.9950354466</v>
      </c>
    </row>
    <row r="17" customFormat="false" ht="15" hidden="false" customHeight="false" outlineLevel="0" collapsed="false">
      <c r="A17" s="14"/>
      <c r="B17" s="14" t="s">
        <v>46</v>
      </c>
      <c r="C17" s="20" t="n">
        <f aca="false">SUM(C5:C16)</f>
        <v>13336.5215793105</v>
      </c>
      <c r="D17" s="20" t="n">
        <f aca="false">SUM(D5:D16)</f>
        <v>13479.419</v>
      </c>
      <c r="E17" s="20" t="n">
        <f aca="false">SUM(E5:E16)</f>
        <v>142.897420689512</v>
      </c>
      <c r="F17" s="20" t="n">
        <f aca="false">SUM(F5:F16)</f>
        <v>-171.111</v>
      </c>
      <c r="G17" s="20" t="n">
        <f aca="false">SUM(G5:G16)</f>
        <v>-96.695</v>
      </c>
      <c r="H17" s="20" t="n">
        <f aca="false">SUM(H5:H16)</f>
        <v>-3.297</v>
      </c>
      <c r="I17" s="20" t="n">
        <f aca="false">SUM(I5:I16)</f>
        <v>-1.857</v>
      </c>
      <c r="J17" s="20" t="n">
        <f aca="false">SUM(J5:J16)</f>
        <v>13399.092</v>
      </c>
      <c r="K17" s="20" t="n">
        <f aca="false">SUM(K5:K16)</f>
        <v>192.633</v>
      </c>
      <c r="L17" s="20" t="n">
        <f aca="false">SUM(L5:L16)</f>
        <v>62.5704206895115</v>
      </c>
      <c r="M17" s="20" t="n">
        <f aca="false">SUM(M5:M16)</f>
        <v>0</v>
      </c>
      <c r="N17" s="21" t="n">
        <f aca="false">SUM(N5:N16)</f>
        <v>1093594.76950346</v>
      </c>
      <c r="O17" s="21" t="n">
        <f aca="false">SUM(O5:O16)</f>
        <v>1098725.544</v>
      </c>
      <c r="P17" s="21" t="n">
        <f aca="false">SUM(P5:P16)</f>
        <v>5130.77449653996</v>
      </c>
    </row>
    <row r="19" customFormat="false" ht="15" hidden="false" customHeight="false" outlineLevel="0" collapsed="false">
      <c r="A19" s="3" t="s">
        <v>91</v>
      </c>
      <c r="C19" s="22" t="n">
        <f aca="false">IFERROR(L17/C17,0)</f>
        <v>0.00469165968932856</v>
      </c>
    </row>
    <row r="20" customFormat="false" ht="15" hidden="false" customHeight="false" outlineLevel="0" collapsed="false">
      <c r="A20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30" hidden="false" customHeight="true" outlineLevel="0" collapsed="false">
      <c r="A4" s="5" t="s">
        <v>95</v>
      </c>
      <c r="B4" s="5" t="s">
        <v>32</v>
      </c>
      <c r="C4" s="5" t="s">
        <v>40</v>
      </c>
      <c r="D4" s="5" t="s">
        <v>96</v>
      </c>
    </row>
    <row r="5" customFormat="false" ht="15" hidden="false" customHeight="false" outlineLevel="0" collapsed="false">
      <c r="A5" s="3" t="s">
        <v>97</v>
      </c>
      <c r="B5" s="23" t="n">
        <f aca="false">Fleet_2015!C17</f>
        <v>13336.5215793105</v>
      </c>
      <c r="C5" s="11" t="n">
        <f aca="false">B5*Inputs!$B$5</f>
        <v>1093594.76950346</v>
      </c>
      <c r="D5" s="13" t="n">
        <f aca="false">IFERROR(B5/$B$5,0)</f>
        <v>1</v>
      </c>
    </row>
    <row r="6" customFormat="false" ht="15" hidden="false" customHeight="false" outlineLevel="0" collapsed="false">
      <c r="A6" s="6" t="s">
        <v>98</v>
      </c>
      <c r="B6" s="23" t="n">
        <f aca="false">Fleet_2015!E17</f>
        <v>142.897420689512</v>
      </c>
      <c r="C6" s="11" t="n">
        <f aca="false">B6*Inputs!$B$5</f>
        <v>11717.58849654</v>
      </c>
      <c r="D6" s="13" t="n">
        <f aca="false">IFERROR(B6/$B$5,0)</f>
        <v>0.0107147444586446</v>
      </c>
    </row>
    <row r="7" customFormat="false" ht="15" hidden="false" customHeight="false" outlineLevel="0" collapsed="false">
      <c r="A7" s="6" t="s">
        <v>81</v>
      </c>
      <c r="B7" s="23" t="n">
        <f aca="false">Fleet_2015!F17</f>
        <v>-171.111</v>
      </c>
      <c r="C7" s="11" t="n">
        <f aca="false">B7*Inputs!$B$5</f>
        <v>-14031.102</v>
      </c>
      <c r="D7" s="13" t="n">
        <f aca="false">IFERROR(B7/$B$5,0)</f>
        <v>-0.0128302570488434</v>
      </c>
    </row>
    <row r="8" customFormat="false" ht="15" hidden="false" customHeight="false" outlineLevel="0" collapsed="false">
      <c r="A8" s="6" t="s">
        <v>99</v>
      </c>
      <c r="B8" s="23" t="n">
        <f aca="false">Fleet_2015!G17</f>
        <v>-96.695</v>
      </c>
      <c r="C8" s="11" t="n">
        <f aca="false">B8*Inputs!$B$5</f>
        <v>-7928.99</v>
      </c>
      <c r="D8" s="13" t="n">
        <f aca="false">IFERROR(B8/$B$5,0)</f>
        <v>-0.00725039129768343</v>
      </c>
    </row>
    <row r="9" customFormat="false" ht="15" hidden="false" customHeight="false" outlineLevel="0" collapsed="false">
      <c r="A9" s="6" t="s">
        <v>83</v>
      </c>
      <c r="B9" s="23" t="n">
        <f aca="false">Fleet_2015!H17</f>
        <v>-3.297</v>
      </c>
      <c r="C9" s="11" t="n">
        <f aca="false">B9*Inputs!$B$5</f>
        <v>-270.354</v>
      </c>
      <c r="D9" s="13" t="n">
        <f aca="false">IFERROR(B9/$B$5,0)</f>
        <v>-0.000247215886120919</v>
      </c>
    </row>
    <row r="10" customFormat="false" ht="15" hidden="false" customHeight="false" outlineLevel="0" collapsed="false">
      <c r="A10" s="6" t="s">
        <v>84</v>
      </c>
      <c r="B10" s="23" t="n">
        <f aca="false">Fleet_2015!I17</f>
        <v>-1.857</v>
      </c>
      <c r="C10" s="11" t="n">
        <f aca="false">B10*Inputs!$B$5</f>
        <v>-152.274</v>
      </c>
      <c r="D10" s="13" t="n">
        <f aca="false">IFERROR(B10/$B$5,0)</f>
        <v>-0.000139241704739626</v>
      </c>
    </row>
    <row r="11" customFormat="false" ht="15" hidden="false" customHeight="false" outlineLevel="0" collapsed="false">
      <c r="A11" s="6" t="s">
        <v>85</v>
      </c>
      <c r="B11" s="23" t="n">
        <f aca="false">Fleet_2015!K17</f>
        <v>192.633</v>
      </c>
      <c r="C11" s="11" t="n">
        <f aca="false">B11*Inputs!$B$5</f>
        <v>15795.906</v>
      </c>
      <c r="D11" s="13" t="n">
        <f aca="false">IFERROR(B11/$B$5,0)</f>
        <v>0.0144440211680713</v>
      </c>
    </row>
    <row r="12" customFormat="false" ht="15" hidden="false" customHeight="false" outlineLevel="0" collapsed="false">
      <c r="A12" s="3" t="s">
        <v>100</v>
      </c>
      <c r="B12" s="23" t="n">
        <f aca="false">Fleet_2015!J17</f>
        <v>13399.092</v>
      </c>
      <c r="C12" s="11" t="n">
        <f aca="false">B12*Inputs!$B$5</f>
        <v>1098725.544</v>
      </c>
      <c r="D12" s="13" t="n">
        <f aca="false">IFERROR(B12/$B$5,0)</f>
        <v>1.00469165968933</v>
      </c>
    </row>
    <row r="14" customFormat="false" ht="15" hidden="false" customHeight="false" outlineLevel="0" collapsed="false">
      <c r="A14" s="3" t="s">
        <v>101</v>
      </c>
      <c r="B14" s="9" t="n">
        <f aca="false">ROUND(B5+SUM(B6:B11)-B12,6)</f>
        <v>0</v>
      </c>
      <c r="C14" s="6"/>
    </row>
    <row r="15" customFormat="false" ht="15" hidden="false" customHeight="false" outlineLevel="0" collapsed="false">
      <c r="A15" s="3" t="s">
        <v>102</v>
      </c>
      <c r="B15" s="6"/>
      <c r="C15" s="11" t="n">
        <f aca="false">SUM(C7:C10)</f>
        <v>-22382.72</v>
      </c>
    </row>
    <row r="16" customFormat="false" ht="15" hidden="false" customHeight="false" outlineLevel="0" collapsed="false">
      <c r="A16" s="3" t="s">
        <v>103</v>
      </c>
      <c r="B16" s="6"/>
      <c r="C16" s="6" t="str">
        <f aca="false">INDEX(A7:A10,MATCH(MIN(C7:C10),C7:C10,0))</f>
        <v>Downtime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15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30" hidden="false" customHeight="true" outlineLevel="0" collapsed="false">
      <c r="A4" s="5" t="s">
        <v>64</v>
      </c>
      <c r="B4" s="5" t="s">
        <v>65</v>
      </c>
      <c r="C4" s="5" t="s">
        <v>67</v>
      </c>
      <c r="D4" s="5" t="s">
        <v>81</v>
      </c>
      <c r="E4" s="5" t="s">
        <v>82</v>
      </c>
      <c r="F4" s="5" t="s">
        <v>83</v>
      </c>
      <c r="G4" s="5" t="s">
        <v>84</v>
      </c>
      <c r="H4" s="5" t="s">
        <v>106</v>
      </c>
      <c r="I4" s="5" t="s">
        <v>107</v>
      </c>
      <c r="J4" s="5" t="s">
        <v>108</v>
      </c>
      <c r="K4" s="5" t="s">
        <v>109</v>
      </c>
      <c r="L4" s="5" t="s">
        <v>110</v>
      </c>
      <c r="M4" s="5" t="s">
        <v>111</v>
      </c>
    </row>
    <row r="5" customFormat="false" ht="15" hidden="false" customHeight="false" outlineLevel="0" collapsed="false">
      <c r="A5" s="17" t="s">
        <v>73</v>
      </c>
      <c r="B5" s="9" t="n">
        <f aca="false">SUMIFS(Data_Monthly!$C$5:$C$100,Data_Monthly!$I$5:$I$100,2015,Data_Monthly!$A$5:$A$100,$A5)</f>
        <v>3801.926</v>
      </c>
      <c r="C5" s="9" t="n">
        <f aca="false">SUMIFS(Data_Monthly!$E$5:$E$100,Data_Monthly!$I$5:$I$100,2015,Data_Monthly!$A$5:$A$100,$A5)</f>
        <v>3771.809</v>
      </c>
      <c r="D5" s="9" t="n">
        <f aca="false">SUMIFS(Data_Monthly!$F$5:$F$100,Data_Monthly!$I$5:$I$100,2015,Data_Monthly!$A$5:$A$100,$A5)</f>
        <v>57.806</v>
      </c>
      <c r="E5" s="9" t="n">
        <f aca="false">SUMIFS(Data_Monthly!$G$5:$G$100,Data_Monthly!$I$5:$I$100,2015,Data_Monthly!$A$5:$A$100,$A5)</f>
        <v>20.82</v>
      </c>
      <c r="F5" s="9" t="n">
        <f aca="false">SUMIFS(Data_Monthly!$H$5:$H$100,Data_Monthly!$I$5:$I$100,2015,Data_Monthly!$A$5:$A$100,$A5)</f>
        <v>1.197</v>
      </c>
      <c r="G5" s="9" t="n">
        <f aca="false">SUMIFS(Data_Monthly!$K$5:$K$100,Data_Monthly!$I$5:$I$100,2015,Data_Monthly!$A$5:$A$100,$A5)</f>
        <v>0.54</v>
      </c>
      <c r="H5" s="9" t="n">
        <f aca="false">SUM(D5:G5)</f>
        <v>80.363</v>
      </c>
      <c r="I5" s="11" t="n">
        <f aca="false">H5*Inputs!$B$5</f>
        <v>6589.766</v>
      </c>
      <c r="J5" s="13" t="n">
        <f aca="false">IFERROR(H5/SUM($H$5:$H$8),0)</f>
        <v>0.294413100820633</v>
      </c>
      <c r="K5" s="24" t="n">
        <f aca="false">RANK(H5,$H$5:$H$8,0)</f>
        <v>2</v>
      </c>
      <c r="L5" s="9" t="n">
        <f aca="false">SUMIFS(Data_Monthly!$G$5:$G$100,Data_Monthly!$I$5:$I$100,2014,Data_Monthly!$A$5:$A$100,$A5)</f>
        <v>21.829</v>
      </c>
      <c r="M5" s="9" t="n">
        <f aca="false">E5-L5</f>
        <v>-1.009</v>
      </c>
    </row>
    <row r="6" customFormat="false" ht="15" hidden="false" customHeight="false" outlineLevel="0" collapsed="false">
      <c r="A6" s="17" t="s">
        <v>74</v>
      </c>
      <c r="B6" s="9" t="n">
        <f aca="false">SUMIFS(Data_Monthly!$C$5:$C$100,Data_Monthly!$I$5:$I$100,2015,Data_Monthly!$A$5:$A$100,$A6)</f>
        <v>2951</v>
      </c>
      <c r="C6" s="9" t="n">
        <f aca="false">SUMIFS(Data_Monthly!$E$5:$E$100,Data_Monthly!$I$5:$I$100,2015,Data_Monthly!$A$5:$A$100,$A6)</f>
        <v>2955.68</v>
      </c>
      <c r="D6" s="9" t="n">
        <f aca="false">SUMIFS(Data_Monthly!$F$5:$F$100,Data_Monthly!$I$5:$I$100,2015,Data_Monthly!$A$5:$A$100,$A6)</f>
        <v>19.274</v>
      </c>
      <c r="E6" s="9" t="n">
        <f aca="false">SUMIFS(Data_Monthly!$G$5:$G$100,Data_Monthly!$I$5:$I$100,2015,Data_Monthly!$A$5:$A$100,$A6)</f>
        <v>19.874</v>
      </c>
      <c r="F6" s="9" t="n">
        <f aca="false">SUMIFS(Data_Monthly!$H$5:$H$100,Data_Monthly!$I$5:$I$100,2015,Data_Monthly!$A$5:$A$100,$A6)</f>
        <v>0.78</v>
      </c>
      <c r="G6" s="9" t="n">
        <f aca="false">SUMIFS(Data_Monthly!$K$5:$K$100,Data_Monthly!$I$5:$I$100,2015,Data_Monthly!$A$5:$A$100,$A6)</f>
        <v>0.39</v>
      </c>
      <c r="H6" s="9" t="n">
        <f aca="false">SUM(D6:G6)</f>
        <v>40.318</v>
      </c>
      <c r="I6" s="11" t="n">
        <f aca="false">H6*Inputs!$B$5</f>
        <v>3306.076</v>
      </c>
      <c r="J6" s="13" t="n">
        <f aca="false">IFERROR(H6/SUM($H$5:$H$8),0)</f>
        <v>0.147706623681125</v>
      </c>
      <c r="K6" s="24" t="n">
        <f aca="false">RANK(H6,$H$5:$H$8,0)</f>
        <v>4</v>
      </c>
      <c r="L6" s="9" t="n">
        <f aca="false">SUMIFS(Data_Monthly!$G$5:$G$100,Data_Monthly!$I$5:$I$100,2014,Data_Monthly!$A$5:$A$100,$A6)</f>
        <v>14.342</v>
      </c>
      <c r="M6" s="9" t="n">
        <f aca="false">E6-L6</f>
        <v>5.532</v>
      </c>
    </row>
    <row r="7" customFormat="false" ht="15" hidden="false" customHeight="false" outlineLevel="0" collapsed="false">
      <c r="A7" s="17" t="s">
        <v>75</v>
      </c>
      <c r="B7" s="9" t="n">
        <f aca="false">SUMIFS(Data_Monthly!$C$5:$C$100,Data_Monthly!$I$5:$I$100,2015,Data_Monthly!$A$5:$A$100,$A7)</f>
        <v>3207.897</v>
      </c>
      <c r="C7" s="9" t="n">
        <f aca="false">SUMIFS(Data_Monthly!$E$5:$E$100,Data_Monthly!$I$5:$I$100,2015,Data_Monthly!$A$5:$A$100,$A7)</f>
        <v>3230.096</v>
      </c>
      <c r="D7" s="9" t="n">
        <f aca="false">SUMIFS(Data_Monthly!$F$5:$F$100,Data_Monthly!$I$5:$I$100,2015,Data_Monthly!$A$5:$A$100,$A7)</f>
        <v>32.387</v>
      </c>
      <c r="E7" s="9" t="n">
        <f aca="false">SUMIFS(Data_Monthly!$G$5:$G$100,Data_Monthly!$I$5:$I$100,2015,Data_Monthly!$A$5:$A$100,$A7)</f>
        <v>16.871</v>
      </c>
      <c r="F7" s="9" t="n">
        <f aca="false">SUMIFS(Data_Monthly!$H$5:$H$100,Data_Monthly!$I$5:$I$100,2015,Data_Monthly!$A$5:$A$100,$A7)</f>
        <v>0.458</v>
      </c>
      <c r="G7" s="9" t="n">
        <f aca="false">SUMIFS(Data_Monthly!$K$5:$K$100,Data_Monthly!$I$5:$I$100,2015,Data_Monthly!$A$5:$A$100,$A7)</f>
        <v>0.429</v>
      </c>
      <c r="H7" s="9" t="n">
        <f aca="false">SUM(D7:G7)</f>
        <v>50.145</v>
      </c>
      <c r="I7" s="11" t="n">
        <f aca="false">H7*Inputs!$B$5</f>
        <v>4111.89</v>
      </c>
      <c r="J7" s="13" t="n">
        <f aca="false">IFERROR(H7/SUM($H$5:$H$8),0)</f>
        <v>0.183708235638921</v>
      </c>
      <c r="K7" s="24" t="n">
        <f aca="false">RANK(H7,$H$5:$H$8,0)</f>
        <v>3</v>
      </c>
      <c r="L7" s="9" t="n">
        <f aca="false">SUMIFS(Data_Monthly!$G$5:$G$100,Data_Monthly!$I$5:$I$100,2014,Data_Monthly!$A$5:$A$100,$A7)</f>
        <v>14.781</v>
      </c>
      <c r="M7" s="9" t="n">
        <f aca="false">E7-L7</f>
        <v>2.09</v>
      </c>
    </row>
    <row r="8" customFormat="false" ht="15" hidden="false" customHeight="false" outlineLevel="0" collapsed="false">
      <c r="A8" s="17" t="s">
        <v>76</v>
      </c>
      <c r="B8" s="9" t="n">
        <f aca="false">SUMIFS(Data_Monthly!$C$5:$C$100,Data_Monthly!$I$5:$I$100,2015,Data_Monthly!$A$5:$A$100,$A8)</f>
        <v>3438.269</v>
      </c>
      <c r="C8" s="9" t="n">
        <f aca="false">SUMIFS(Data_Monthly!$E$5:$E$100,Data_Monthly!$I$5:$I$100,2015,Data_Monthly!$A$5:$A$100,$A8)</f>
        <v>3521.834</v>
      </c>
      <c r="D8" s="9" t="n">
        <f aca="false">SUMIFS(Data_Monthly!$F$5:$F$100,Data_Monthly!$I$5:$I$100,2015,Data_Monthly!$A$5:$A$100,$A8)</f>
        <v>61.644</v>
      </c>
      <c r="E8" s="9" t="n">
        <f aca="false">SUMIFS(Data_Monthly!$G$5:$G$100,Data_Monthly!$I$5:$I$100,2015,Data_Monthly!$A$5:$A$100,$A8)</f>
        <v>39.13</v>
      </c>
      <c r="F8" s="9" t="n">
        <f aca="false">SUMIFS(Data_Monthly!$H$5:$H$100,Data_Monthly!$I$5:$I$100,2015,Data_Monthly!$A$5:$A$100,$A8)</f>
        <v>0.862</v>
      </c>
      <c r="G8" s="9" t="n">
        <f aca="false">SUMIFS(Data_Monthly!$K$5:$K$100,Data_Monthly!$I$5:$I$100,2015,Data_Monthly!$A$5:$A$100,$A8)</f>
        <v>0.498</v>
      </c>
      <c r="H8" s="9" t="n">
        <f aca="false">SUM(D8:G8)</f>
        <v>102.134</v>
      </c>
      <c r="I8" s="11" t="n">
        <f aca="false">H8*Inputs!$B$5</f>
        <v>8374.988</v>
      </c>
      <c r="J8" s="13" t="n">
        <f aca="false">IFERROR(H8/SUM($H$5:$H$8),0)</f>
        <v>0.37417203985932</v>
      </c>
      <c r="K8" s="24" t="n">
        <f aca="false">RANK(H8,$H$5:$H$8,0)</f>
        <v>1</v>
      </c>
      <c r="L8" s="9" t="n">
        <f aca="false">SUMIFS(Data_Monthly!$G$5:$G$100,Data_Monthly!$I$5:$I$100,2014,Data_Monthly!$A$5:$A$100,$A8)</f>
        <v>20.371</v>
      </c>
      <c r="M8" s="9" t="n">
        <f aca="false">E8-L8</f>
        <v>18.759</v>
      </c>
    </row>
    <row r="9" customFormat="false" ht="15" hidden="false" customHeight="false" outlineLevel="0" collapsed="false">
      <c r="A9" s="14" t="s">
        <v>112</v>
      </c>
      <c r="B9" s="20" t="n">
        <f aca="false">SUM(B5:B8)</f>
        <v>13399.092</v>
      </c>
      <c r="C9" s="20" t="n">
        <f aca="false">SUM(C5:C8)</f>
        <v>13479.419</v>
      </c>
      <c r="D9" s="20" t="n">
        <f aca="false">SUM(D5:D8)</f>
        <v>171.111</v>
      </c>
      <c r="E9" s="20" t="n">
        <f aca="false">SUM(E5:E8)</f>
        <v>96.695</v>
      </c>
      <c r="F9" s="20" t="n">
        <f aca="false">SUM(F5:F8)</f>
        <v>3.297</v>
      </c>
      <c r="G9" s="20" t="n">
        <f aca="false">SUM(G5:G8)</f>
        <v>1.857</v>
      </c>
      <c r="H9" s="20" t="n">
        <f aca="false">SUM(H5:H8)</f>
        <v>272.96</v>
      </c>
      <c r="I9" s="21" t="n">
        <f aca="false">SUM(I5:I8)</f>
        <v>22382.72</v>
      </c>
      <c r="J9" s="14"/>
      <c r="K9" s="14"/>
      <c r="L9" s="20" t="n">
        <f aca="false">SUM(L5:L8)</f>
        <v>71.323</v>
      </c>
      <c r="M9" s="20" t="n">
        <f aca="false">SUM(M5:M8)</f>
        <v>25.372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4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30" hidden="false" customHeight="true" outlineLevel="0" collapsed="false">
      <c r="A4" s="5" t="s">
        <v>115</v>
      </c>
      <c r="B4" s="5" t="s">
        <v>32</v>
      </c>
      <c r="C4" s="5" t="s">
        <v>40</v>
      </c>
      <c r="D4" s="5" t="s">
        <v>116</v>
      </c>
    </row>
    <row r="5" customFormat="false" ht="15" hidden="false" customHeight="false" outlineLevel="0" collapsed="false">
      <c r="A5" s="6" t="s">
        <v>117</v>
      </c>
      <c r="B5" s="25" t="n">
        <f aca="false">Inputs!B6</f>
        <v>6</v>
      </c>
      <c r="D5" s="2" t="s">
        <v>118</v>
      </c>
    </row>
    <row r="6" customFormat="false" ht="15" hidden="false" customHeight="false" outlineLevel="0" collapsed="false">
      <c r="A6" s="6" t="s">
        <v>119</v>
      </c>
      <c r="B6" s="9" t="n">
        <f aca="false">SUMIFS(Fleet_2015!C5:C16,Fleet_2015!A5:A16,"&lt;="&amp;B5)</f>
        <v>6923.79228732656</v>
      </c>
      <c r="C6" s="11" t="n">
        <f aca="false">B6*Inputs!$B$5</f>
        <v>567750.967560778</v>
      </c>
      <c r="D6" s="2"/>
    </row>
    <row r="7" customFormat="false" ht="15" hidden="false" customHeight="false" outlineLevel="0" collapsed="false">
      <c r="A7" s="6" t="s">
        <v>120</v>
      </c>
      <c r="B7" s="9" t="n">
        <f aca="false">SUMIFS(Fleet_2015!J5:J16,Fleet_2015!A5:A16,"&lt;="&amp;B5)</f>
        <v>6803.129</v>
      </c>
      <c r="C7" s="11" t="n">
        <f aca="false">B7*Inputs!$B$5</f>
        <v>557856.578</v>
      </c>
      <c r="D7" s="2"/>
    </row>
    <row r="8" customFormat="false" ht="15" hidden="false" customHeight="false" outlineLevel="0" collapsed="false">
      <c r="A8" s="6" t="s">
        <v>121</v>
      </c>
      <c r="B8" s="9" t="n">
        <f aca="false">SUMIFS(Fleet_2015!D5:D16,Fleet_2015!A5:A16,"&lt;="&amp;B5)</f>
        <v>6829.563</v>
      </c>
      <c r="C8" s="11" t="n">
        <f aca="false">B8*Inputs!$B$5</f>
        <v>560024.166</v>
      </c>
      <c r="D8" s="2" t="s">
        <v>122</v>
      </c>
    </row>
    <row r="9" customFormat="false" ht="15" hidden="false" customHeight="false" outlineLevel="0" collapsed="false">
      <c r="A9" s="6" t="s">
        <v>123</v>
      </c>
      <c r="B9" s="26" t="n">
        <f aca="false">IFERROR(B7/B8,0)</f>
        <v>0.99612947416987</v>
      </c>
      <c r="D9" s="2" t="s">
        <v>124</v>
      </c>
    </row>
    <row r="10" customFormat="false" ht="15" hidden="false" customHeight="false" outlineLevel="0" collapsed="false">
      <c r="A10" s="6" t="s">
        <v>125</v>
      </c>
      <c r="B10" s="9" t="n">
        <f aca="false">SUMIFS(Fleet_2015!C5:C16,Fleet_2015!A5:A16,"&gt;"&amp;B5)</f>
        <v>6412.72929198393</v>
      </c>
      <c r="C10" s="11" t="n">
        <f aca="false">B10*Inputs!$B$5</f>
        <v>525843.801942682</v>
      </c>
      <c r="D10" s="2"/>
    </row>
    <row r="11" customFormat="false" ht="15" hidden="false" customHeight="false" outlineLevel="0" collapsed="false">
      <c r="A11" s="3" t="s">
        <v>126</v>
      </c>
      <c r="B11" s="9" t="n">
        <f aca="false">B7+B10</f>
        <v>13215.8582919839</v>
      </c>
      <c r="C11" s="11" t="n">
        <f aca="false">B11*Inputs!$B$5</f>
        <v>1083700.37994268</v>
      </c>
      <c r="D11" s="2" t="s">
        <v>127</v>
      </c>
    </row>
    <row r="12" customFormat="false" ht="15" hidden="false" customHeight="false" outlineLevel="0" collapsed="false">
      <c r="A12" s="3" t="s">
        <v>128</v>
      </c>
      <c r="B12" s="9" t="n">
        <f aca="false">B7+B10*B9</f>
        <v>13191.0376576177</v>
      </c>
      <c r="C12" s="11" t="n">
        <f aca="false">B12*Inputs!$B$5</f>
        <v>1081665.08792465</v>
      </c>
      <c r="D12" s="2" t="s">
        <v>129</v>
      </c>
    </row>
    <row r="13" customFormat="false" ht="15" hidden="false" customHeight="false" outlineLevel="0" collapsed="false">
      <c r="A13" s="6" t="s">
        <v>130</v>
      </c>
      <c r="B13" s="23" t="n">
        <f aca="false">Fleet_2015!C17</f>
        <v>13336.5215793105</v>
      </c>
      <c r="C13" s="11" t="n">
        <f aca="false">B13*Inputs!$B$5</f>
        <v>1093594.76950346</v>
      </c>
      <c r="D13" s="2"/>
    </row>
    <row r="14" customFormat="false" ht="15" hidden="false" customHeight="false" outlineLevel="0" collapsed="false">
      <c r="A14" s="6" t="s">
        <v>131</v>
      </c>
      <c r="B14" s="23" t="n">
        <f aca="false">Fleet_2015!J17</f>
        <v>13399.092</v>
      </c>
      <c r="C14" s="11" t="n">
        <f aca="false">B14*Inputs!$B$5</f>
        <v>1098725.544</v>
      </c>
      <c r="D14" s="2" t="s">
        <v>132</v>
      </c>
    </row>
    <row r="15" customFormat="false" ht="15" hidden="false" customHeight="false" outlineLevel="0" collapsed="false">
      <c r="A15" s="6" t="s">
        <v>133</v>
      </c>
      <c r="B15" s="9" t="n">
        <f aca="false">B11-B14</f>
        <v>-183.233708016076</v>
      </c>
      <c r="C15" s="11" t="n">
        <f aca="false">B15*Inputs!$B$5</f>
        <v>-15025.1640573182</v>
      </c>
      <c r="D15" s="2"/>
    </row>
    <row r="16" customFormat="false" ht="15" hidden="false" customHeight="false" outlineLevel="0" collapsed="false">
      <c r="A16" s="6" t="s">
        <v>134</v>
      </c>
      <c r="B16" s="9" t="n">
        <f aca="false">B12-B14</f>
        <v>-208.054342382329</v>
      </c>
      <c r="C16" s="11" t="n">
        <f aca="false">B16*Inputs!$B$5</f>
        <v>-17060.456075351</v>
      </c>
      <c r="D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2026-10-04T14:21:37Z</dcterms:created>
  <dc:creator>openpyxl</dc:creator>
  <dc:description/>
  <dc:language>en-US</dc:language>
  <cp:lastModifiedBy/>
  <dcterms:modified xsi:type="dcterms:W3CDTF">2026-10-04T14:21:39Z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